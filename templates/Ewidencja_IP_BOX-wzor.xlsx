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Ewidencja_IP_BO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&quot;zł&quot;_-;\-* #,##0.00\ &quot;zł&quot;_-;_-* &quot;-&quot;??\ &quot;zł&quot;_-;_-@_-"/>
  </numFmts>
  <fonts count="4">
    <font>
      <name val="Calibri"/>
      <charset val="238"/>
      <family val="2"/>
      <color rgb="FF000000"/>
      <sz val="11"/>
    </font>
    <font>
      <name val="Calibri"/>
      <charset val="238"/>
      <family val="2"/>
      <b val="1"/>
      <color rgb="FF000000"/>
      <sz val="11"/>
    </font>
    <font>
      <name val="Calibri"/>
      <charset val="1"/>
      <family val="2"/>
      <color rgb="FF444444"/>
      <sz val="11"/>
    </font>
    <font>
      <name val="Calibri"/>
      <charset val="238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  <fill>
      <patternFill patternType="solid">
        <fgColor rgb="FF5B9BD5"/>
        <bgColor rgb="FF969696"/>
      </patternFill>
    </fill>
    <fill>
      <patternFill patternType="solid">
        <fgColor theme="0" tint="-0.1499984740745262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164" fontId="3" fillId="0" borderId="0"/>
  </cellStyleXfs>
  <cellXfs count="171">
    <xf numFmtId="0" fontId="0" fillId="0" borderId="0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3" borderId="18" applyAlignment="1" pivotButton="0" quotePrefix="0" xfId="0">
      <alignment wrapText="1"/>
    </xf>
    <xf numFmtId="0" fontId="0" fillId="3" borderId="17" applyAlignment="1" pivotButton="0" quotePrefix="0" xfId="0">
      <alignment wrapText="1"/>
    </xf>
    <xf numFmtId="0" fontId="0" fillId="3" borderId="20" applyAlignment="1" pivotButton="0" quotePrefix="0" xfId="0">
      <alignment horizontal="center" vertical="center"/>
    </xf>
    <xf numFmtId="0" fontId="0" fillId="3" borderId="22" pivotButton="0" quotePrefix="0" xfId="0"/>
    <xf numFmtId="0" fontId="0" fillId="3" borderId="7" applyAlignment="1" pivotButton="0" quotePrefix="0" xfId="0">
      <alignment wrapText="1"/>
    </xf>
    <xf numFmtId="0" fontId="0" fillId="3" borderId="22" applyAlignment="1" pivotButton="0" quotePrefix="0" xfId="0">
      <alignment wrapText="1"/>
    </xf>
    <xf numFmtId="0" fontId="0" fillId="3" borderId="23" applyAlignment="1" pivotButton="0" quotePrefix="0" xfId="0">
      <alignment horizontal="center" vertical="center" wrapText="1"/>
    </xf>
    <xf numFmtId="0" fontId="0" fillId="3" borderId="25" pivotButton="0" quotePrefix="0" xfId="0"/>
    <xf numFmtId="0" fontId="0" fillId="3" borderId="2" applyAlignment="1" pivotButton="0" quotePrefix="0" xfId="0">
      <alignment horizontal="center" vertical="center"/>
    </xf>
    <xf numFmtId="0" fontId="0" fillId="3" borderId="25" applyAlignment="1" pivotButton="0" quotePrefix="0" xfId="0">
      <alignment horizontal="center" vertical="center"/>
    </xf>
    <xf numFmtId="0" fontId="0" fillId="3" borderId="26" applyAlignment="1" pivotButton="0" quotePrefix="0" xfId="0">
      <alignment horizontal="center"/>
    </xf>
    <xf numFmtId="2" fontId="0" fillId="3" borderId="7" applyAlignment="1" pivotButton="0" quotePrefix="0" xfId="0">
      <alignment horizontal="center" vertical="center"/>
    </xf>
    <xf numFmtId="0" fontId="0" fillId="3" borderId="17" pivotButton="0" quotePrefix="0" xfId="0"/>
    <xf numFmtId="0" fontId="0" fillId="3" borderId="0" pivotButton="0" quotePrefix="0" xfId="0"/>
    <xf numFmtId="2" fontId="0" fillId="3" borderId="18" applyAlignment="1" pivotButton="0" quotePrefix="0" xfId="0">
      <alignment horizontal="center" vertical="center"/>
    </xf>
    <xf numFmtId="0" fontId="0" fillId="3" borderId="1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31" pivotButton="0" quotePrefix="0" xfId="0"/>
    <xf numFmtId="0" fontId="0" fillId="3" borderId="32" applyAlignment="1" pivotButton="0" quotePrefix="0" xfId="0">
      <alignment horizontal="center" vertical="center"/>
    </xf>
    <xf numFmtId="0" fontId="0" fillId="3" borderId="18" pivotButton="0" quotePrefix="0" xfId="0"/>
    <xf numFmtId="0" fontId="0" fillId="3" borderId="7" pivotButton="0" quotePrefix="0" xfId="0"/>
    <xf numFmtId="2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 wrapText="1"/>
    </xf>
    <xf numFmtId="0" fontId="0" fillId="4" borderId="36" applyAlignment="1" pivotButton="0" quotePrefix="0" xfId="0">
      <alignment horizontal="center" vertical="center"/>
    </xf>
    <xf numFmtId="0" fontId="0" fillId="4" borderId="37" applyAlignment="1" pivotButton="0" quotePrefix="0" xfId="0">
      <alignment horizontal="center" vertical="center"/>
    </xf>
    <xf numFmtId="0" fontId="0" fillId="4" borderId="39" applyAlignment="1" pivotButton="0" quotePrefix="0" xfId="0">
      <alignment horizontal="center" vertical="center"/>
    </xf>
    <xf numFmtId="2" fontId="0" fillId="4" borderId="36" applyAlignment="1" pivotButton="0" quotePrefix="0" xfId="0">
      <alignment horizontal="center" vertical="center"/>
    </xf>
    <xf numFmtId="0" fontId="0" fillId="4" borderId="40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0" fontId="1" fillId="2" borderId="15" applyAlignment="1" pivotButton="0" quotePrefix="0" xfId="0">
      <alignment horizontal="center"/>
    </xf>
    <xf numFmtId="2" fontId="1" fillId="2" borderId="44" applyAlignment="1" pivotButton="0" quotePrefix="0" xfId="0">
      <alignment horizontal="center"/>
    </xf>
    <xf numFmtId="2" fontId="1" fillId="2" borderId="13" applyAlignment="1" pivotButton="0" quotePrefix="0" xfId="0">
      <alignment horizontal="center"/>
    </xf>
    <xf numFmtId="2" fontId="1" fillId="5" borderId="14" applyAlignment="1" pivotButton="0" quotePrefix="0" xfId="0">
      <alignment horizontal="center"/>
    </xf>
    <xf numFmtId="2" fontId="1" fillId="5" borderId="13" applyAlignment="1" pivotButton="0" quotePrefix="0" xfId="0">
      <alignment horizontal="center"/>
    </xf>
    <xf numFmtId="2" fontId="1" fillId="2" borderId="41" applyAlignment="1" pivotButton="0" quotePrefix="0" xfId="0">
      <alignment horizontal="center"/>
    </xf>
    <xf numFmtId="2" fontId="0" fillId="3" borderId="1" applyAlignment="1" pivotButton="0" quotePrefix="0" xfId="0">
      <alignment horizontal="center" vertical="center"/>
    </xf>
    <xf numFmtId="0" fontId="0" fillId="3" borderId="43" pivotButton="0" quotePrefix="0" xfId="0"/>
    <xf numFmtId="0" fontId="0" fillId="3" borderId="59" pivotButton="0" quotePrefix="0" xfId="0"/>
    <xf numFmtId="0" fontId="0" fillId="3" borderId="58" applyAlignment="1" pivotButton="0" quotePrefix="0" xfId="0">
      <alignment horizontal="left" vertical="top"/>
    </xf>
    <xf numFmtId="0" fontId="0" fillId="3" borderId="59" applyAlignment="1" pivotButton="0" quotePrefix="0" xfId="0">
      <alignment horizontal="left" vertical="top" wrapText="1"/>
    </xf>
    <xf numFmtId="0" fontId="0" fillId="3" borderId="59" applyAlignment="1" pivotButton="0" quotePrefix="0" xfId="0">
      <alignment wrapText="1"/>
    </xf>
    <xf numFmtId="0" fontId="0" fillId="3" borderId="60" applyAlignment="1" pivotButton="0" quotePrefix="0" xfId="0">
      <alignment horizontal="left" vertical="top" wrapText="1"/>
    </xf>
    <xf numFmtId="0" fontId="0" fillId="3" borderId="66" applyAlignment="1" pivotButton="0" quotePrefix="0" xfId="0">
      <alignment wrapText="1"/>
    </xf>
    <xf numFmtId="0" fontId="0" fillId="3" borderId="57" applyAlignment="1" pivotButton="0" quotePrefix="0" xfId="0">
      <alignment horizontal="left" vertical="top"/>
    </xf>
    <xf numFmtId="164" fontId="1" fillId="2" borderId="9" applyAlignment="1" pivotButton="0" quotePrefix="0" xfId="1">
      <alignment horizontal="center" vertical="center" wrapText="1"/>
    </xf>
    <xf numFmtId="164" fontId="1" fillId="2" borderId="0" applyAlignment="1" pivotButton="0" quotePrefix="0" xfId="1">
      <alignment horizontal="center" vertical="center" wrapText="1"/>
    </xf>
    <xf numFmtId="164" fontId="0" fillId="3" borderId="16" applyAlignment="1" pivotButton="0" quotePrefix="0" xfId="1">
      <alignment horizontal="center" vertical="center"/>
    </xf>
    <xf numFmtId="164" fontId="0" fillId="3" borderId="21" applyAlignment="1" pivotButton="0" quotePrefix="0" xfId="1">
      <alignment horizontal="center" vertical="center"/>
    </xf>
    <xf numFmtId="164" fontId="0" fillId="3" borderId="51" applyAlignment="1" pivotButton="0" quotePrefix="0" xfId="1">
      <alignment horizontal="center" vertical="center"/>
    </xf>
    <xf numFmtId="164" fontId="0" fillId="3" borderId="24" applyAlignment="1" pivotButton="0" quotePrefix="0" xfId="1">
      <alignment horizontal="center" vertical="center"/>
    </xf>
    <xf numFmtId="164" fontId="0" fillId="3" borderId="49" applyAlignment="1" pivotButton="0" quotePrefix="0" xfId="1">
      <alignment horizontal="center" vertical="center"/>
    </xf>
    <xf numFmtId="164" fontId="0" fillId="3" borderId="65" applyAlignment="1" pivotButton="0" quotePrefix="0" xfId="1">
      <alignment horizontal="center" vertical="center"/>
    </xf>
    <xf numFmtId="164" fontId="0" fillId="3" borderId="53" applyAlignment="1" pivotButton="0" quotePrefix="0" xfId="1">
      <alignment horizontal="center" vertical="center"/>
    </xf>
    <xf numFmtId="164" fontId="0" fillId="3" borderId="30" applyAlignment="1" pivotButton="0" quotePrefix="0" xfId="1">
      <alignment horizontal="center" vertical="center"/>
    </xf>
    <xf numFmtId="164" fontId="0" fillId="3" borderId="52" applyAlignment="1" pivotButton="0" quotePrefix="0" xfId="1">
      <alignment horizontal="center" vertical="center"/>
    </xf>
    <xf numFmtId="164" fontId="0" fillId="3" borderId="33" applyAlignment="1" pivotButton="0" quotePrefix="0" xfId="1">
      <alignment horizontal="center" vertical="center"/>
    </xf>
    <xf numFmtId="164" fontId="0" fillId="3" borderId="34" applyAlignment="1" pivotButton="0" quotePrefix="0" xfId="1">
      <alignment horizontal="center" vertical="center"/>
    </xf>
    <xf numFmtId="164" fontId="0" fillId="3" borderId="2" applyAlignment="1" pivotButton="0" quotePrefix="0" xfId="1">
      <alignment horizontal="center" vertical="center"/>
    </xf>
    <xf numFmtId="164" fontId="0" fillId="3" borderId="36" applyAlignment="1" pivotButton="0" quotePrefix="0" xfId="1">
      <alignment horizontal="center" vertical="center"/>
    </xf>
    <xf numFmtId="164" fontId="0" fillId="6" borderId="50" applyAlignment="1" pivotButton="0" quotePrefix="0" xfId="1">
      <alignment horizontal="center"/>
    </xf>
    <xf numFmtId="164" fontId="0" fillId="3" borderId="67" applyAlignment="1" pivotButton="0" quotePrefix="0" xfId="1">
      <alignment horizontal="center" vertical="center"/>
    </xf>
    <xf numFmtId="164" fontId="0" fillId="3" borderId="7" applyAlignment="1" pivotButton="0" quotePrefix="0" xfId="1">
      <alignment horizontal="center" vertical="center"/>
    </xf>
    <xf numFmtId="164" fontId="0" fillId="3" borderId="35" applyAlignment="1" pivotButton="0" quotePrefix="0" xfId="1">
      <alignment horizontal="center" vertical="center"/>
    </xf>
    <xf numFmtId="164" fontId="0" fillId="3" borderId="69" applyAlignment="1" pivotButton="0" quotePrefix="0" xfId="1">
      <alignment horizontal="center" vertical="center"/>
    </xf>
    <xf numFmtId="164" fontId="0" fillId="3" borderId="70" applyAlignment="1" pivotButton="0" quotePrefix="0" xfId="1">
      <alignment horizontal="center" vertical="center"/>
    </xf>
    <xf numFmtId="164" fontId="0" fillId="3" borderId="18" applyAlignment="1" pivotButton="0" quotePrefix="0" xfId="1">
      <alignment horizontal="center" vertical="center"/>
    </xf>
    <xf numFmtId="164" fontId="0" fillId="4" borderId="37" applyAlignment="1" pivotButton="0" quotePrefix="0" xfId="1">
      <alignment horizontal="center" vertical="center"/>
    </xf>
    <xf numFmtId="164" fontId="0" fillId="4" borderId="9" applyAlignment="1" pivotButton="0" quotePrefix="0" xfId="1">
      <alignment horizontal="center" vertical="center"/>
    </xf>
    <xf numFmtId="164" fontId="0" fillId="4" borderId="38" applyAlignment="1" pivotButton="0" quotePrefix="0" xfId="1">
      <alignment horizontal="center" vertical="center"/>
    </xf>
    <xf numFmtId="164" fontId="1" fillId="5" borderId="15" applyAlignment="1" pivotButton="0" quotePrefix="0" xfId="1">
      <alignment horizontal="center"/>
    </xf>
    <xf numFmtId="164" fontId="1" fillId="2" borderId="15" applyAlignment="1" pivotButton="0" quotePrefix="0" xfId="1">
      <alignment horizontal="center"/>
    </xf>
    <xf numFmtId="164" fontId="1" fillId="5" borderId="12" applyAlignment="1" pivotButton="0" quotePrefix="0" xfId="1">
      <alignment horizontal="center"/>
    </xf>
    <xf numFmtId="164" fontId="1" fillId="2" borderId="44" applyAlignment="1" pivotButton="0" quotePrefix="0" xfId="1">
      <alignment horizontal="center"/>
    </xf>
    <xf numFmtId="164" fontId="0" fillId="0" borderId="0" pivotButton="0" quotePrefix="0" xfId="1"/>
    <xf numFmtId="164" fontId="1" fillId="2" borderId="11" applyAlignment="1" pivotButton="0" quotePrefix="0" xfId="1">
      <alignment horizontal="center" vertical="center" wrapText="1"/>
    </xf>
    <xf numFmtId="0" fontId="0" fillId="0" borderId="7" pivotButton="0" quotePrefix="0" xfId="0"/>
    <xf numFmtId="164" fontId="0" fillId="0" borderId="7" pivotButton="0" quotePrefix="0" xfId="1"/>
    <xf numFmtId="164" fontId="0" fillId="3" borderId="71" applyAlignment="1" pivotButton="0" quotePrefix="0" xfId="1">
      <alignment horizontal="center" vertical="center"/>
    </xf>
    <xf numFmtId="0" fontId="0" fillId="3" borderId="60" pivotButton="0" quotePrefix="0" xfId="0"/>
    <xf numFmtId="0" fontId="0" fillId="3" borderId="68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164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164" fontId="1" fillId="2" borderId="5" applyAlignment="1" pivotButton="0" quotePrefix="0" xfId="1">
      <alignment horizontal="center" vertical="center" wrapText="1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/>
    </xf>
    <xf numFmtId="9" fontId="0" fillId="3" borderId="14" applyAlignment="1" pivotButton="0" quotePrefix="0" xfId="0">
      <alignment horizontal="center" vertical="center"/>
    </xf>
    <xf numFmtId="164" fontId="0" fillId="3" borderId="15" applyAlignment="1" pivotButton="0" quotePrefix="0" xfId="1">
      <alignment horizontal="center" vertical="center"/>
    </xf>
    <xf numFmtId="164" fontId="0" fillId="3" borderId="5" applyAlignment="1" pivotButton="0" quotePrefix="0" xfId="1">
      <alignment horizontal="center" vertical="center"/>
    </xf>
    <xf numFmtId="0" fontId="0" fillId="3" borderId="19" applyAlignment="1" pivotButton="0" quotePrefix="0" xfId="0">
      <alignment horizontal="center" vertical="center" wrapText="1"/>
    </xf>
    <xf numFmtId="0" fontId="0" fillId="3" borderId="27" applyAlignment="1" pivotButton="0" quotePrefix="0" xfId="0">
      <alignment horizontal="center" vertical="center" wrapText="1"/>
    </xf>
    <xf numFmtId="0" fontId="0" fillId="3" borderId="28" applyAlignment="1" pivotButton="0" quotePrefix="0" xfId="0">
      <alignment horizontal="center" vertical="center"/>
    </xf>
    <xf numFmtId="164" fontId="0" fillId="3" borderId="29" applyAlignment="1" pivotButton="0" quotePrefix="0" xfId="1">
      <alignment horizontal="center" vertical="center"/>
    </xf>
    <xf numFmtId="9" fontId="0" fillId="3" borderId="46" applyAlignment="1" pivotButton="0" quotePrefix="0" xfId="0">
      <alignment horizontal="center" vertical="center"/>
    </xf>
    <xf numFmtId="164" fontId="0" fillId="3" borderId="48" applyAlignment="1" pivotButton="0" quotePrefix="0" xfId="1">
      <alignment horizontal="center" vertical="center"/>
    </xf>
    <xf numFmtId="164" fontId="0" fillId="3" borderId="44" applyAlignment="1" pivotButton="0" quotePrefix="0" xfId="1">
      <alignment horizontal="center" vertical="center"/>
    </xf>
    <xf numFmtId="164" fontId="0" fillId="3" borderId="45" applyAlignment="1" pivotButton="0" quotePrefix="0" xfId="1">
      <alignment horizontal="center" vertical="center"/>
    </xf>
    <xf numFmtId="164" fontId="0" fillId="3" borderId="10" applyAlignment="1" pivotButton="0" quotePrefix="0" xfId="1">
      <alignment horizontal="center" vertical="center"/>
    </xf>
    <xf numFmtId="164" fontId="0" fillId="3" borderId="47" applyAlignment="1" pivotButton="0" quotePrefix="0" xfId="1">
      <alignment horizontal="center" vertical="center"/>
    </xf>
    <xf numFmtId="164" fontId="0" fillId="3" borderId="28" applyAlignment="1" pivotButton="0" quotePrefix="0" xfId="1">
      <alignment horizontal="center" vertical="center"/>
    </xf>
    <xf numFmtId="164" fontId="0" fillId="3" borderId="42" applyAlignment="1" pivotButton="0" quotePrefix="0" xfId="1">
      <alignment horizontal="center" vertical="center"/>
    </xf>
    <xf numFmtId="164" fontId="0" fillId="3" borderId="36" applyAlignment="1" pivotButton="0" quotePrefix="0" xfId="1">
      <alignment horizontal="center" vertical="center"/>
    </xf>
    <xf numFmtId="10" fontId="2" fillId="3" borderId="42" applyAlignment="1" pivotButton="0" quotePrefix="1" xfId="0">
      <alignment horizontal="center" vertical="center"/>
    </xf>
    <xf numFmtId="10" fontId="0" fillId="3" borderId="42" applyAlignment="1" pivotButton="0" quotePrefix="0" xfId="0">
      <alignment horizontal="center" vertical="center"/>
    </xf>
    <xf numFmtId="10" fontId="0" fillId="3" borderId="36" applyAlignment="1" pivotButton="0" quotePrefix="0" xfId="0">
      <alignment horizontal="center" vertical="center"/>
    </xf>
    <xf numFmtId="164" fontId="0" fillId="3" borderId="54" applyAlignment="1" pivotButton="0" quotePrefix="0" xfId="1">
      <alignment horizontal="center" vertical="center"/>
    </xf>
    <xf numFmtId="164" fontId="0" fillId="3" borderId="55" applyAlignment="1" pivotButton="0" quotePrefix="0" xfId="1">
      <alignment horizontal="center" vertical="center"/>
    </xf>
    <xf numFmtId="9" fontId="0" fillId="3" borderId="28" applyAlignment="1" pivotButton="0" quotePrefix="0" xfId="0">
      <alignment horizontal="center" vertical="center"/>
    </xf>
    <xf numFmtId="9" fontId="0" fillId="3" borderId="42" applyAlignment="1" pivotButton="0" quotePrefix="0" xfId="0">
      <alignment horizontal="center" vertical="center"/>
    </xf>
    <xf numFmtId="9" fontId="0" fillId="3" borderId="36" applyAlignment="1" pivotButton="0" quotePrefix="0" xfId="0">
      <alignment horizontal="center" vertical="center"/>
    </xf>
    <xf numFmtId="0" fontId="0" fillId="3" borderId="37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/>
    </xf>
    <xf numFmtId="164" fontId="0" fillId="3" borderId="56" applyAlignment="1" pivotButton="0" quotePrefix="0" xfId="1">
      <alignment horizontal="center" vertical="center"/>
    </xf>
    <xf numFmtId="10" fontId="0" fillId="3" borderId="28" applyAlignment="1" pivotButton="0" quotePrefix="0" xfId="0">
      <alignment horizontal="center" vertical="center"/>
    </xf>
    <xf numFmtId="164" fontId="0" fillId="3" borderId="62" applyAlignment="1" pivotButton="0" quotePrefix="0" xfId="1">
      <alignment horizontal="center" vertical="center"/>
    </xf>
    <xf numFmtId="164" fontId="0" fillId="3" borderId="63" applyAlignment="1" pivotButton="0" quotePrefix="0" xfId="1">
      <alignment horizontal="center" vertical="center"/>
    </xf>
    <xf numFmtId="164" fontId="0" fillId="3" borderId="64" applyAlignment="1" pivotButton="0" quotePrefix="0" xfId="1">
      <alignment horizontal="center" vertical="center"/>
    </xf>
    <xf numFmtId="10" fontId="0" fillId="3" borderId="62" applyAlignment="1" pivotButton="0" quotePrefix="0" xfId="0">
      <alignment horizontal="center" vertical="center"/>
    </xf>
    <xf numFmtId="10" fontId="0" fillId="3" borderId="63" applyAlignment="1" pivotButton="0" quotePrefix="0" xfId="0">
      <alignment horizontal="center" vertical="center"/>
    </xf>
    <xf numFmtId="0" fontId="0" fillId="3" borderId="36" applyAlignment="1" pivotButton="0" quotePrefix="0" xfId="0">
      <alignment horizontal="center" vertical="center"/>
    </xf>
    <xf numFmtId="10" fontId="0" fillId="3" borderId="6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/>
    </xf>
    <xf numFmtId="0" fontId="0" fillId="0" borderId="85" pivotButton="0" quotePrefix="0" xfId="0"/>
    <xf numFmtId="0" fontId="0" fillId="0" borderId="6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10" pivotButton="0" quotePrefix="0" xfId="0"/>
    <xf numFmtId="0" fontId="0" fillId="0" borderId="76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74" pivotButton="0" quotePrefix="0" xfId="0"/>
    <xf numFmtId="0" fontId="0" fillId="0" borderId="83" pivotButton="0" quotePrefix="0" xfId="0"/>
    <xf numFmtId="0" fontId="0" fillId="0" borderId="75" pivotButton="0" quotePrefix="0" xfId="0"/>
    <xf numFmtId="0" fontId="0" fillId="0" borderId="9" pivotButton="0" quotePrefix="0" xfId="0"/>
    <xf numFmtId="0" fontId="0" fillId="0" borderId="37" pivotButton="0" quotePrefix="0" xfId="0"/>
    <xf numFmtId="0" fontId="0" fillId="0" borderId="54" pivotButton="0" quotePrefix="0" xfId="0"/>
    <xf numFmtId="0" fontId="0" fillId="0" borderId="38" pivotButton="0" quotePrefix="0" xfId="0"/>
    <xf numFmtId="10" fontId="2" fillId="3" borderId="36" applyAlignment="1" pivotButton="0" quotePrefix="1" xfId="0">
      <alignment horizontal="center" vertical="center"/>
    </xf>
    <xf numFmtId="164" fontId="0" fillId="3" borderId="14" applyAlignment="1" pivotButton="0" quotePrefix="0" xfId="1">
      <alignment horizontal="center" vertical="center"/>
    </xf>
    <xf numFmtId="0" fontId="0" fillId="0" borderId="47" pivotButton="0" quotePrefix="0" xfId="0"/>
    <xf numFmtId="164" fontId="0" fillId="3" borderId="77" applyAlignment="1" pivotButton="0" quotePrefix="0" xfId="1">
      <alignment horizontal="center" vertical="center"/>
    </xf>
    <xf numFmtId="0" fontId="0" fillId="0" borderId="55" pivotButton="0" quotePrefix="0" xfId="0"/>
    <xf numFmtId="164" fontId="0" fillId="3" borderId="80" applyAlignment="1" pivotButton="0" quotePrefix="0" xfId="1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64" pivotButton="0" quotePrefix="0" xfId="0"/>
    <xf numFmtId="0" fontId="0" fillId="0" borderId="79" pivotButton="0" quotePrefix="0" xfId="0"/>
    <xf numFmtId="10" fontId="0" fillId="3" borderId="46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39" pivotButton="0" quotePrefix="0" xfId="0"/>
    <xf numFmtId="0" fontId="0" fillId="0" borderId="44" pivotButton="0" quotePrefix="0" xfId="0"/>
    <xf numFmtId="0" fontId="0" fillId="0" borderId="41" pivotButton="0" quotePrefix="0" xfId="0"/>
  </cellXfs>
  <cellStyles count="2">
    <cellStyle name="Normalny" xfId="0" builtinId="0"/>
    <cellStyle name="Walutowy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tabSelected="1" topLeftCell="A96" zoomScale="115" zoomScaleNormal="115" workbookViewId="0">
      <selection activeCell="A122" sqref="A122:C122"/>
    </sheetView>
  </sheetViews>
  <sheetFormatPr baseColWidth="8" defaultColWidth="8.7109375" defaultRowHeight="15"/>
  <cols>
    <col width="5.140625" customWidth="1" min="1" max="1"/>
    <col width="35.7109375" customWidth="1" min="2" max="2"/>
    <col width="23.140625" customWidth="1" min="3" max="3"/>
    <col width="18.42578125" customWidth="1" min="4" max="4"/>
    <col width="14.28515625" customWidth="1" min="5" max="5"/>
    <col width="17.42578125" customWidth="1" min="6" max="6"/>
    <col width="14.28515625" customWidth="1" style="83" min="7" max="7"/>
    <col width="16.140625" customWidth="1" style="83" min="8" max="10"/>
    <col width="41.28515625" customWidth="1" min="11" max="11"/>
    <col width="19.140625" customWidth="1" style="83" min="12" max="12"/>
    <col width="13.42578125" customWidth="1" style="83" min="13" max="13"/>
    <col width="24.42578125" customWidth="1" min="14" max="14"/>
    <col width="35" customWidth="1" min="15" max="15"/>
    <col width="18.42578125" customWidth="1" min="16" max="17"/>
    <col width="9.140625" customWidth="1" min="18" max="18"/>
  </cols>
  <sheetData>
    <row r="1" ht="15.75" customHeight="1">
      <c r="A1" s="90" t="inlineStr">
        <is>
          <t>Lp.</t>
        </is>
      </c>
      <c r="B1" s="91" t="inlineStr">
        <is>
          <t>Opis projektu</t>
        </is>
      </c>
      <c r="C1" s="91" t="inlineStr">
        <is>
          <t>Okres realizacji projektu</t>
        </is>
      </c>
      <c r="D1" s="92" t="inlineStr">
        <is>
          <t>Czas poświęcony na realizację projektu (w godzinach)</t>
        </is>
      </c>
      <c r="E1" s="91" t="inlineStr">
        <is>
          <t>Numer     faktury</t>
        </is>
      </c>
      <c r="F1" s="93" t="inlineStr">
        <is>
          <t>% kwalifikowany (proporcja do kosztów)</t>
        </is>
      </c>
      <c r="G1" s="94" t="inlineStr">
        <is>
          <t>Przychód całkowity (w zł)</t>
        </is>
      </c>
      <c r="H1" s="94" t="inlineStr">
        <is>
          <t>Przychód z kwalifikowanego IP (w zł)</t>
        </is>
      </c>
      <c r="I1" s="95" t="inlineStr">
        <is>
          <t>Koszty uzyskania przychodu</t>
        </is>
      </c>
      <c r="J1" s="141" t="n"/>
      <c r="K1" s="141" t="n"/>
      <c r="L1" s="96" t="inlineStr">
        <is>
          <t>Dochód (strata) z kwalifikowanego IP</t>
        </is>
      </c>
      <c r="M1" s="97" t="inlineStr">
        <is>
          <t>Koszty związane z wytworzeniem kwalifikowanego IP ( w zł)</t>
        </is>
      </c>
      <c r="N1" s="142" t="n"/>
      <c r="O1" s="142" t="n"/>
      <c r="P1" s="142" t="n"/>
      <c r="Q1" s="98" t="inlineStr">
        <is>
          <t>Wskaźnik Nexus</t>
        </is>
      </c>
      <c r="R1" s="99" t="inlineStr">
        <is>
          <t>Numer w KPiR/KR</t>
        </is>
      </c>
    </row>
    <row r="2" ht="33.75" customHeight="1" thickBot="1">
      <c r="A2" s="143" t="n"/>
      <c r="B2" s="143" t="n"/>
      <c r="C2" s="143" t="n"/>
      <c r="D2" s="143" t="n"/>
      <c r="E2" s="143" t="n"/>
      <c r="F2" s="144" t="n"/>
      <c r="G2" s="145" t="n"/>
      <c r="H2" s="145" t="n"/>
      <c r="I2" s="54" t="inlineStr">
        <is>
          <t>Kwota kosztu z KPIR</t>
        </is>
      </c>
      <c r="J2" s="55" t="inlineStr">
        <is>
          <t>Kwota IP BOX</t>
        </is>
      </c>
      <c r="K2" s="1" t="inlineStr">
        <is>
          <t xml:space="preserve">Rodzaj kosztu i nr faktury </t>
        </is>
      </c>
      <c r="L2" s="146" t="n"/>
      <c r="M2" s="84" t="inlineStr">
        <is>
          <t>Koszty bezpośrednie</t>
        </is>
      </c>
      <c r="N2" s="2" t="inlineStr">
        <is>
          <t>Nabycie wyników prac B+R od podmiotu powiązanego</t>
        </is>
      </c>
      <c r="O2" s="2" t="inlineStr">
        <is>
          <t>Nabycie wyników prac B+R od podmiotu niepowiązanego</t>
        </is>
      </c>
      <c r="P2" s="3" t="inlineStr">
        <is>
          <t>Nabycie kwalifikowanego IP</t>
        </is>
      </c>
      <c r="Q2" s="147" t="n"/>
      <c r="R2" s="148" t="n"/>
    </row>
    <row r="3" ht="15" customHeight="1" thickBot="1">
      <c r="A3" s="100" t="inlineStr">
        <is>
          <t>1.</t>
        </is>
      </c>
      <c r="B3" s="101" t="n"/>
      <c r="C3" s="102" t="inlineStr">
        <is>
          <t>Styczeń</t>
        </is>
      </c>
      <c r="D3" s="103" t="n"/>
      <c r="E3" s="103" t="n"/>
      <c r="F3" s="105">
        <f>H3/G3</f>
        <v/>
      </c>
      <c r="G3" s="106" t="n"/>
      <c r="H3" s="106" t="n"/>
      <c r="I3" s="56" t="n"/>
      <c r="J3" s="75">
        <f>I3*$F$3</f>
        <v/>
      </c>
      <c r="K3" s="48" t="n"/>
      <c r="L3" s="107">
        <f>H3-SUM(J3:J7)</f>
        <v/>
      </c>
      <c r="M3" s="56" t="n"/>
      <c r="N3" s="4" t="n"/>
      <c r="O3" s="4" t="n"/>
      <c r="P3" s="5" t="n"/>
      <c r="Q3" s="108">
        <f>((M121+O121)*1.3)/(M121+N121+O121+P121)</f>
        <v/>
      </c>
      <c r="R3" s="6" t="n"/>
    </row>
    <row r="4" ht="15.75" customHeight="1" thickBot="1">
      <c r="A4" s="149" t="n"/>
      <c r="B4" s="150" t="n"/>
      <c r="C4" s="149" t="n"/>
      <c r="D4" s="143" t="n"/>
      <c r="E4" s="143" t="n"/>
      <c r="F4" s="143" t="n"/>
      <c r="G4" s="145" t="n"/>
      <c r="H4" s="145" t="n"/>
      <c r="I4" s="57" t="n"/>
      <c r="J4" s="71">
        <f>I4*$F$3</f>
        <v/>
      </c>
      <c r="K4" s="47" t="n"/>
      <c r="L4" s="151" t="n"/>
      <c r="M4" s="57" t="n"/>
      <c r="N4" s="8" t="n"/>
      <c r="O4" s="8" t="n"/>
      <c r="P4" s="9" t="n"/>
      <c r="Q4" s="151" t="n"/>
      <c r="R4" s="10" t="n"/>
    </row>
    <row r="5" ht="15.75" customHeight="1" thickBot="1">
      <c r="A5" s="149" t="n"/>
      <c r="B5" s="150" t="n"/>
      <c r="C5" s="149" t="n"/>
      <c r="D5" s="143" t="n"/>
      <c r="E5" s="143" t="n"/>
      <c r="F5" s="143" t="n"/>
      <c r="G5" s="145" t="n"/>
      <c r="H5" s="145" t="n"/>
      <c r="I5" s="57" t="n"/>
      <c r="J5" s="71">
        <f>I5*$F$3</f>
        <v/>
      </c>
      <c r="K5" s="47" t="n"/>
      <c r="L5" s="151" t="n"/>
      <c r="M5" s="57" t="n"/>
      <c r="N5" s="8" t="n"/>
      <c r="O5" s="8" t="n"/>
      <c r="P5" s="9" t="n"/>
      <c r="Q5" s="151" t="n"/>
      <c r="R5" s="10" t="n"/>
    </row>
    <row r="6" ht="15.75" customHeight="1" thickBot="1">
      <c r="A6" s="149" t="n"/>
      <c r="B6" s="150" t="n"/>
      <c r="C6" s="149" t="n"/>
      <c r="D6" s="143" t="n"/>
      <c r="E6" s="143" t="n"/>
      <c r="F6" s="143" t="n"/>
      <c r="G6" s="145" t="n"/>
      <c r="H6" s="145" t="n"/>
      <c r="I6" s="59" t="n"/>
      <c r="J6" s="71">
        <f>I6*$F$3</f>
        <v/>
      </c>
      <c r="K6" s="49" t="n"/>
      <c r="L6" s="151" t="n"/>
      <c r="M6" s="59" t="n"/>
      <c r="N6" s="8" t="n"/>
      <c r="O6" s="8" t="n"/>
      <c r="P6" s="9" t="n"/>
      <c r="Q6" s="151" t="n"/>
      <c r="R6" s="10" t="n"/>
    </row>
    <row r="7" ht="15" customHeight="1" thickBot="1">
      <c r="A7" s="149" t="n"/>
      <c r="B7" s="150" t="n"/>
      <c r="C7" s="152" t="n"/>
      <c r="D7" s="144" t="n"/>
      <c r="E7" s="144" t="n"/>
      <c r="F7" s="144" t="n"/>
      <c r="G7" s="153" t="n"/>
      <c r="H7" s="153" t="n"/>
      <c r="I7" s="72" t="n"/>
      <c r="J7" s="67">
        <f>I7*$F$3</f>
        <v/>
      </c>
      <c r="K7" s="52" t="n"/>
      <c r="L7" s="146" t="n"/>
      <c r="M7" s="72" t="n"/>
      <c r="N7" s="12" t="n"/>
      <c r="O7" s="12" t="n"/>
      <c r="P7" s="13" t="n"/>
      <c r="Q7" s="151" t="n"/>
      <c r="R7" s="14" t="n"/>
    </row>
    <row r="8" ht="15" customHeight="1" thickBot="1">
      <c r="A8" s="149" t="n"/>
      <c r="B8" s="150" t="n"/>
      <c r="C8" s="109" t="inlineStr">
        <is>
          <t>Luty</t>
        </is>
      </c>
      <c r="D8" s="110" t="n"/>
      <c r="E8" s="110" t="n"/>
      <c r="F8" s="105">
        <f>H8/G8</f>
        <v/>
      </c>
      <c r="G8" s="111" t="n"/>
      <c r="H8" s="106" t="n"/>
      <c r="I8" s="62" t="n"/>
      <c r="J8" s="63">
        <f>I8*$F$8</f>
        <v/>
      </c>
      <c r="K8" s="16" t="n"/>
      <c r="L8" s="107">
        <f>H8-SUM(J8:J17)</f>
        <v/>
      </c>
      <c r="M8" s="62" t="n"/>
      <c r="N8" s="17" t="n"/>
      <c r="O8" s="18" t="n"/>
      <c r="P8" s="19" t="n"/>
      <c r="Q8" s="151" t="n"/>
      <c r="R8" s="6" t="n"/>
    </row>
    <row r="9" ht="15" customHeight="1" thickBot="1">
      <c r="A9" s="149" t="n"/>
      <c r="B9" s="150" t="n"/>
      <c r="C9" s="149" t="n"/>
      <c r="D9" s="143" t="n"/>
      <c r="E9" s="143" t="n"/>
      <c r="F9" s="143" t="n"/>
      <c r="G9" s="145" t="n"/>
      <c r="H9" s="145" t="n"/>
      <c r="I9" s="64" t="n"/>
      <c r="J9" s="63">
        <f>I9*$F$8</f>
        <v/>
      </c>
      <c r="K9" s="53" t="n"/>
      <c r="L9" s="151" t="n"/>
      <c r="M9" s="64" t="n"/>
      <c r="N9" s="20" t="n"/>
      <c r="O9" s="20" t="n"/>
      <c r="P9" s="21" t="n"/>
      <c r="Q9" s="151" t="n"/>
      <c r="R9" s="22" t="n"/>
    </row>
    <row r="10" ht="15.75" customHeight="1" thickBot="1">
      <c r="A10" s="149" t="n"/>
      <c r="B10" s="150" t="n"/>
      <c r="C10" s="149" t="n"/>
      <c r="D10" s="143" t="n"/>
      <c r="E10" s="143" t="n"/>
      <c r="F10" s="143" t="n"/>
      <c r="G10" s="145" t="n"/>
      <c r="H10" s="145" t="n"/>
      <c r="I10" s="64" t="n"/>
      <c r="J10" s="63">
        <f>I10*$F$8</f>
        <v/>
      </c>
      <c r="K10" s="49" t="n"/>
      <c r="L10" s="151" t="n"/>
      <c r="M10" s="64" t="n"/>
      <c r="N10" s="20" t="n"/>
      <c r="O10" s="20" t="n"/>
      <c r="P10" s="21" t="n"/>
      <c r="Q10" s="151" t="n"/>
      <c r="R10" s="22" t="n"/>
    </row>
    <row r="11" ht="15.75" customHeight="1" thickBot="1">
      <c r="A11" s="149" t="n"/>
      <c r="B11" s="150" t="n"/>
      <c r="C11" s="149" t="n"/>
      <c r="D11" s="143" t="n"/>
      <c r="E11" s="143" t="n"/>
      <c r="F11" s="143" t="n"/>
      <c r="G11" s="145" t="n"/>
      <c r="H11" s="145" t="n"/>
      <c r="I11" s="64" t="n"/>
      <c r="J11" s="63">
        <f>I11*$F$8</f>
        <v/>
      </c>
      <c r="K11" s="47" t="n"/>
      <c r="L11" s="151" t="n"/>
      <c r="M11" s="64" t="n"/>
      <c r="N11" s="20" t="n"/>
      <c r="O11" s="20" t="n"/>
      <c r="P11" s="21" t="n"/>
      <c r="Q11" s="151" t="n"/>
      <c r="R11" s="22" t="n"/>
    </row>
    <row r="12" ht="30.75" customHeight="1" thickBot="1">
      <c r="A12" s="149" t="n"/>
      <c r="B12" s="150" t="n"/>
      <c r="C12" s="149" t="n"/>
      <c r="D12" s="143" t="n"/>
      <c r="E12" s="143" t="n"/>
      <c r="F12" s="143" t="n"/>
      <c r="G12" s="145" t="n"/>
      <c r="H12" s="145" t="n"/>
      <c r="I12" s="64" t="n"/>
      <c r="J12" s="63">
        <f>I12*$F$8</f>
        <v/>
      </c>
      <c r="K12" s="51" t="n"/>
      <c r="L12" s="151" t="n"/>
      <c r="M12" s="64" t="n"/>
      <c r="N12" s="20" t="n"/>
      <c r="O12" s="20" t="n"/>
      <c r="P12" s="21" t="n"/>
      <c r="Q12" s="151" t="n"/>
      <c r="R12" s="22" t="n"/>
    </row>
    <row r="13" ht="15.75" customHeight="1" thickBot="1">
      <c r="A13" s="149" t="n"/>
      <c r="B13" s="150" t="n"/>
      <c r="C13" s="149" t="n"/>
      <c r="D13" s="143" t="n"/>
      <c r="E13" s="143" t="n"/>
      <c r="F13" s="143" t="n"/>
      <c r="G13" s="145" t="n"/>
      <c r="H13" s="145" t="n"/>
      <c r="I13" s="64" t="n"/>
      <c r="J13" s="63">
        <f>I13*$F$8</f>
        <v/>
      </c>
      <c r="K13" s="47" t="n"/>
      <c r="L13" s="151" t="n"/>
      <c r="M13" s="64" t="n"/>
      <c r="N13" s="20" t="n"/>
      <c r="O13" s="20" t="n"/>
      <c r="P13" s="21" t="n"/>
      <c r="Q13" s="151" t="n"/>
      <c r="R13" s="22" t="n"/>
    </row>
    <row r="14" ht="30.75" customHeight="1" thickBot="1">
      <c r="A14" s="149" t="n"/>
      <c r="B14" s="150" t="n"/>
      <c r="C14" s="149" t="n"/>
      <c r="D14" s="143" t="n"/>
      <c r="E14" s="143" t="n"/>
      <c r="F14" s="143" t="n"/>
      <c r="G14" s="145" t="n"/>
      <c r="H14" s="145" t="n"/>
      <c r="I14" s="64" t="n"/>
      <c r="J14" s="63">
        <f>I14*$F$8</f>
        <v/>
      </c>
      <c r="K14" s="51" t="n"/>
      <c r="L14" s="151" t="n"/>
      <c r="M14" s="64" t="n"/>
      <c r="N14" s="20" t="n"/>
      <c r="O14" s="20" t="n"/>
      <c r="P14" s="21" t="n"/>
      <c r="Q14" s="151" t="n"/>
      <c r="R14" s="22" t="n"/>
    </row>
    <row r="15" ht="15.75" customHeight="1" thickBot="1">
      <c r="A15" s="149" t="n"/>
      <c r="B15" s="150" t="n"/>
      <c r="C15" s="149" t="n"/>
      <c r="D15" s="143" t="n"/>
      <c r="E15" s="143" t="n"/>
      <c r="F15" s="143" t="n"/>
      <c r="G15" s="145" t="n"/>
      <c r="H15" s="145" t="n"/>
      <c r="I15" s="64" t="n"/>
      <c r="J15" s="63">
        <f>I15*$F$8</f>
        <v/>
      </c>
      <c r="K15" s="47" t="n"/>
      <c r="L15" s="151" t="n"/>
      <c r="M15" s="64" t="n"/>
      <c r="N15" s="20" t="n"/>
      <c r="O15" s="20" t="n"/>
      <c r="P15" s="21" t="n"/>
      <c r="Q15" s="151" t="n"/>
      <c r="R15" s="22" t="n"/>
    </row>
    <row r="16" ht="15.75" customHeight="1" thickBot="1">
      <c r="A16" s="149" t="n"/>
      <c r="B16" s="150" t="n"/>
      <c r="C16" s="149" t="n"/>
      <c r="D16" s="143" t="n"/>
      <c r="E16" s="143" t="n"/>
      <c r="F16" s="143" t="n"/>
      <c r="G16" s="145" t="n"/>
      <c r="H16" s="145" t="n"/>
      <c r="I16" s="64" t="n"/>
      <c r="J16" s="63">
        <f>I16*$F$8</f>
        <v/>
      </c>
      <c r="K16" s="47" t="n"/>
      <c r="L16" s="151" t="n"/>
      <c r="M16" s="64" t="n"/>
      <c r="N16" s="20" t="n"/>
      <c r="O16" s="20" t="n"/>
      <c r="P16" s="21" t="n"/>
      <c r="Q16" s="151" t="n"/>
      <c r="R16" s="22" t="n"/>
    </row>
    <row r="17" ht="15.75" customHeight="1" thickBot="1">
      <c r="A17" s="149" t="n"/>
      <c r="B17" s="150" t="n"/>
      <c r="C17" s="149" t="n"/>
      <c r="D17" s="143" t="n"/>
      <c r="E17" s="143" t="n"/>
      <c r="F17" s="144" t="n"/>
      <c r="G17" s="145" t="n"/>
      <c r="H17" s="153" t="n"/>
      <c r="I17" s="60" t="n"/>
      <c r="J17" s="67">
        <f>I17*$F$8</f>
        <v/>
      </c>
      <c r="K17" s="52" t="n"/>
      <c r="L17" s="146" t="n"/>
      <c r="M17" s="60" t="n"/>
      <c r="N17" s="23" t="n"/>
      <c r="O17" s="23" t="n"/>
      <c r="P17" s="24" t="n"/>
      <c r="Q17" s="151" t="n"/>
      <c r="R17" s="25" t="n"/>
    </row>
    <row r="18" ht="13.9" customHeight="1" thickBot="1">
      <c r="A18" s="149" t="n"/>
      <c r="B18" s="150" t="n"/>
      <c r="C18" s="109" t="inlineStr">
        <is>
          <t>Marzec</t>
        </is>
      </c>
      <c r="D18" s="110" t="n"/>
      <c r="E18" s="110" t="n"/>
      <c r="F18" s="105">
        <f>H18/G18</f>
        <v/>
      </c>
      <c r="G18" s="113" t="n"/>
      <c r="H18" s="114" t="n"/>
      <c r="I18" s="65" t="n"/>
      <c r="J18" s="66">
        <f>I18*$F$18</f>
        <v/>
      </c>
      <c r="K18" s="48" t="n"/>
      <c r="L18" s="107">
        <f>H18-SUM(J18:J25)</f>
        <v/>
      </c>
      <c r="M18" s="65" t="n"/>
      <c r="N18" s="26" t="n"/>
      <c r="O18" s="26" t="n"/>
      <c r="P18" s="16" t="n"/>
      <c r="Q18" s="151" t="n"/>
      <c r="R18" s="6" t="n"/>
    </row>
    <row r="19" ht="30.75" customHeight="1" thickBot="1">
      <c r="A19" s="149" t="n"/>
      <c r="B19" s="150" t="n"/>
      <c r="C19" s="149" t="n"/>
      <c r="D19" s="143" t="n"/>
      <c r="E19" s="143" t="n"/>
      <c r="F19" s="143" t="n"/>
      <c r="G19" s="154" t="n"/>
      <c r="I19" s="57" t="n"/>
      <c r="J19" s="66">
        <f>I19*$F$18</f>
        <v/>
      </c>
      <c r="K19" s="51" t="n"/>
      <c r="L19" s="151" t="n"/>
      <c r="M19" s="57" t="n"/>
      <c r="N19" s="27" t="n"/>
      <c r="O19" s="27" t="n"/>
      <c r="P19" s="7" t="n"/>
      <c r="Q19" s="151" t="n"/>
      <c r="R19" s="22" t="n"/>
    </row>
    <row r="20" ht="30.75" customHeight="1" thickBot="1">
      <c r="A20" s="149" t="n"/>
      <c r="B20" s="150" t="n"/>
      <c r="C20" s="149" t="n"/>
      <c r="D20" s="143" t="n"/>
      <c r="E20" s="143" t="n"/>
      <c r="F20" s="143" t="n"/>
      <c r="G20" s="154" t="n"/>
      <c r="I20" s="57" t="n"/>
      <c r="J20" s="66">
        <f>I20*$F$18</f>
        <v/>
      </c>
      <c r="K20" s="51" t="n"/>
      <c r="L20" s="151" t="n"/>
      <c r="M20" s="57" t="n"/>
      <c r="N20" s="27" t="n"/>
      <c r="O20" s="27" t="n"/>
      <c r="P20" s="7" t="n"/>
      <c r="Q20" s="151" t="n"/>
      <c r="R20" s="22" t="n"/>
    </row>
    <row r="21" ht="15.75" customHeight="1" thickBot="1">
      <c r="A21" s="149" t="n"/>
      <c r="B21" s="150" t="n"/>
      <c r="C21" s="149" t="n"/>
      <c r="D21" s="143" t="n"/>
      <c r="E21" s="143" t="n"/>
      <c r="F21" s="143" t="n"/>
      <c r="G21" s="154" t="n"/>
      <c r="I21" s="59" t="n"/>
      <c r="J21" s="66">
        <f>I21*$F$18</f>
        <v/>
      </c>
      <c r="K21" s="49" t="n"/>
      <c r="L21" s="151" t="n"/>
      <c r="M21" s="59" t="n"/>
      <c r="N21" s="23" t="n"/>
      <c r="O21" s="23" t="n"/>
      <c r="P21" s="24" t="n"/>
      <c r="Q21" s="151" t="n"/>
      <c r="R21" s="25" t="n"/>
    </row>
    <row r="22" ht="15.75" customHeight="1" thickBot="1">
      <c r="A22" s="149" t="n"/>
      <c r="B22" s="150" t="n"/>
      <c r="C22" s="149" t="n"/>
      <c r="D22" s="143" t="n"/>
      <c r="E22" s="143" t="n"/>
      <c r="F22" s="143" t="n"/>
      <c r="G22" s="154" t="n"/>
      <c r="I22" s="59" t="n"/>
      <c r="J22" s="66">
        <f>I22*$F$18</f>
        <v/>
      </c>
      <c r="K22" s="47" t="n"/>
      <c r="L22" s="151" t="n"/>
      <c r="M22" s="59" t="n"/>
      <c r="N22" s="23" t="n"/>
      <c r="O22" s="23" t="n"/>
      <c r="P22" s="24" t="n"/>
      <c r="Q22" s="151" t="n"/>
      <c r="R22" s="25" t="n"/>
    </row>
    <row r="23" ht="15.75" customHeight="1" thickBot="1">
      <c r="A23" s="149" t="n"/>
      <c r="B23" s="150" t="n"/>
      <c r="C23" s="149" t="n"/>
      <c r="D23" s="143" t="n"/>
      <c r="E23" s="143" t="n"/>
      <c r="F23" s="143" t="n"/>
      <c r="G23" s="154" t="n"/>
      <c r="I23" s="59" t="n"/>
      <c r="J23" s="66">
        <f>I23*$F$18</f>
        <v/>
      </c>
      <c r="K23" s="47" t="n"/>
      <c r="L23" s="151" t="n"/>
      <c r="M23" s="59" t="n"/>
      <c r="N23" s="23" t="n"/>
      <c r="O23" s="23" t="n"/>
      <c r="P23" s="24" t="n"/>
      <c r="Q23" s="151" t="n"/>
      <c r="R23" s="25" t="n"/>
    </row>
    <row r="24" ht="15.75" customHeight="1" thickBot="1">
      <c r="A24" s="149" t="n"/>
      <c r="B24" s="150" t="n"/>
      <c r="C24" s="149" t="n"/>
      <c r="D24" s="143" t="n"/>
      <c r="E24" s="143" t="n"/>
      <c r="F24" s="143" t="n"/>
      <c r="G24" s="154" t="n"/>
      <c r="I24" s="59" t="n"/>
      <c r="J24" s="66">
        <f>I24*$F$18</f>
        <v/>
      </c>
      <c r="K24" s="47" t="n"/>
      <c r="L24" s="151" t="n"/>
      <c r="M24" s="59" t="n"/>
      <c r="N24" s="23" t="n"/>
      <c r="O24" s="23" t="n"/>
      <c r="P24" s="24" t="n"/>
      <c r="Q24" s="151" t="n"/>
      <c r="R24" s="25" t="n"/>
    </row>
    <row r="25" ht="15.75" customHeight="1" thickBot="1">
      <c r="A25" s="149" t="n"/>
      <c r="B25" s="150" t="n"/>
      <c r="C25" s="149" t="n"/>
      <c r="D25" s="143" t="n"/>
      <c r="E25" s="143" t="n"/>
      <c r="F25" s="144" t="n"/>
      <c r="G25" s="154" t="n"/>
      <c r="H25" s="155" t="n"/>
      <c r="I25" s="59" t="n"/>
      <c r="J25" s="67">
        <f>I25*$F$18</f>
        <v/>
      </c>
      <c r="K25" s="52" t="n"/>
      <c r="L25" s="146" t="n"/>
      <c r="M25" s="59" t="n"/>
      <c r="N25" s="23" t="n"/>
      <c r="O25" s="23" t="n"/>
      <c r="P25" s="24" t="n"/>
      <c r="Q25" s="151" t="n"/>
      <c r="R25" s="25" t="n"/>
    </row>
    <row r="26" ht="13.9" customHeight="1" thickBot="1">
      <c r="A26" s="149" t="n"/>
      <c r="B26" s="150" t="n"/>
      <c r="C26" s="109" t="inlineStr">
        <is>
          <t>Kwiecień</t>
        </is>
      </c>
      <c r="D26" s="110" t="n"/>
      <c r="E26" s="110" t="n"/>
      <c r="F26" s="156">
        <f>H26/G26</f>
        <v/>
      </c>
      <c r="G26" s="157" t="n"/>
      <c r="H26" s="111" t="n"/>
      <c r="I26" s="56" t="n"/>
      <c r="J26" s="66">
        <f>I26*$F$26</f>
        <v/>
      </c>
      <c r="K26" s="48" t="n"/>
      <c r="L26" s="117">
        <f>H26-SUM(J26:J35)</f>
        <v/>
      </c>
      <c r="M26" s="56" t="n"/>
      <c r="N26" s="26" t="n"/>
      <c r="O26" s="26" t="n"/>
      <c r="P26" s="16" t="n"/>
      <c r="Q26" s="151" t="n"/>
      <c r="R26" s="25" t="n"/>
    </row>
    <row r="27" ht="13.9" customHeight="1" thickBot="1">
      <c r="A27" s="149" t="n"/>
      <c r="B27" s="150" t="n"/>
      <c r="C27" s="149" t="n"/>
      <c r="D27" s="143" t="n"/>
      <c r="E27" s="143" t="n"/>
      <c r="F27" s="143" t="n"/>
      <c r="G27" s="143" t="n"/>
      <c r="H27" s="145" t="n"/>
      <c r="I27" s="57" t="n"/>
      <c r="J27" s="66">
        <f>I27*$F$26</f>
        <v/>
      </c>
      <c r="K27" s="47" t="n"/>
      <c r="L27" s="145" t="n"/>
      <c r="M27" s="57" t="n"/>
      <c r="N27" s="27" t="n"/>
      <c r="O27" s="27" t="n"/>
      <c r="P27" s="7" t="n"/>
      <c r="Q27" s="151" t="n"/>
      <c r="R27" s="22" t="n"/>
    </row>
    <row r="28" ht="13.9" customHeight="1" thickBot="1">
      <c r="A28" s="149" t="n"/>
      <c r="B28" s="150" t="n"/>
      <c r="C28" s="149" t="n"/>
      <c r="D28" s="143" t="n"/>
      <c r="E28" s="143" t="n"/>
      <c r="F28" s="143" t="n"/>
      <c r="G28" s="143" t="n"/>
      <c r="H28" s="145" t="n"/>
      <c r="I28" s="57" t="n"/>
      <c r="J28" s="66">
        <f>I28*$F$26</f>
        <v/>
      </c>
      <c r="K28" s="47" t="n"/>
      <c r="L28" s="145" t="n"/>
      <c r="M28" s="57" t="n"/>
      <c r="N28" s="27" t="n"/>
      <c r="O28" s="27" t="n"/>
      <c r="P28" s="7" t="n"/>
      <c r="Q28" s="151" t="n"/>
      <c r="R28" s="22" t="n"/>
    </row>
    <row r="29" ht="13.9" customHeight="1" thickBot="1">
      <c r="A29" s="149" t="n"/>
      <c r="B29" s="150" t="n"/>
      <c r="C29" s="149" t="n"/>
      <c r="D29" s="143" t="n"/>
      <c r="E29" s="143" t="n"/>
      <c r="F29" s="143" t="n"/>
      <c r="G29" s="143" t="n"/>
      <c r="H29" s="145" t="n"/>
      <c r="I29" s="59" t="n"/>
      <c r="J29" s="66">
        <f>I29*$F$26</f>
        <v/>
      </c>
      <c r="K29" s="49" t="n"/>
      <c r="L29" s="145" t="n"/>
      <c r="M29" s="59" t="n"/>
      <c r="N29" s="23" t="n"/>
      <c r="O29" s="23" t="n"/>
      <c r="P29" s="24" t="n"/>
      <c r="Q29" s="151" t="n"/>
      <c r="R29" s="25" t="n"/>
    </row>
    <row r="30" ht="13.9" customHeight="1" thickBot="1">
      <c r="A30" s="149" t="n"/>
      <c r="B30" s="150" t="n"/>
      <c r="C30" s="149" t="n"/>
      <c r="D30" s="143" t="n"/>
      <c r="E30" s="143" t="n"/>
      <c r="F30" s="143" t="n"/>
      <c r="G30" s="143" t="n"/>
      <c r="H30" s="145" t="n"/>
      <c r="I30" s="59" t="n"/>
      <c r="J30" s="66">
        <f>I30*$F$26</f>
        <v/>
      </c>
      <c r="K30" s="47" t="n"/>
      <c r="L30" s="145" t="n"/>
      <c r="M30" s="59" t="n"/>
      <c r="N30" s="23" t="n"/>
      <c r="O30" s="23" t="n"/>
      <c r="P30" s="24" t="n"/>
      <c r="Q30" s="151" t="n"/>
      <c r="R30" s="25" t="n"/>
    </row>
    <row r="31" ht="13.9" customHeight="1" thickBot="1">
      <c r="A31" s="149" t="n"/>
      <c r="B31" s="150" t="n"/>
      <c r="C31" s="149" t="n"/>
      <c r="D31" s="143" t="n"/>
      <c r="E31" s="143" t="n"/>
      <c r="F31" s="143" t="n"/>
      <c r="G31" s="143" t="n"/>
      <c r="H31" s="145" t="n"/>
      <c r="I31" s="59" t="n"/>
      <c r="J31" s="66">
        <f>I31*$F$26</f>
        <v/>
      </c>
      <c r="K31" s="51" t="n"/>
      <c r="L31" s="145" t="n"/>
      <c r="M31" s="59" t="n"/>
      <c r="N31" s="23" t="n"/>
      <c r="O31" s="23" t="n"/>
      <c r="P31" s="24" t="n"/>
      <c r="Q31" s="151" t="n"/>
      <c r="R31" s="25" t="n"/>
    </row>
    <row r="32" ht="13.9" customHeight="1" thickBot="1">
      <c r="A32" s="149" t="n"/>
      <c r="B32" s="150" t="n"/>
      <c r="C32" s="149" t="n"/>
      <c r="D32" s="143" t="n"/>
      <c r="E32" s="143" t="n"/>
      <c r="F32" s="143" t="n"/>
      <c r="G32" s="143" t="n"/>
      <c r="H32" s="145" t="n"/>
      <c r="I32" s="59" t="n"/>
      <c r="J32" s="66">
        <f>I32*$F$26</f>
        <v/>
      </c>
      <c r="K32" s="47" t="n"/>
      <c r="L32" s="145" t="n"/>
      <c r="M32" s="59" t="n"/>
      <c r="N32" s="23" t="n"/>
      <c r="O32" s="23" t="n"/>
      <c r="P32" s="24" t="n"/>
      <c r="Q32" s="151" t="n"/>
      <c r="R32" s="25" t="n"/>
    </row>
    <row r="33" ht="13.9" customHeight="1" thickBot="1">
      <c r="A33" s="149" t="n"/>
      <c r="B33" s="150" t="n"/>
      <c r="C33" s="149" t="n"/>
      <c r="D33" s="143" t="n"/>
      <c r="E33" s="143" t="n"/>
      <c r="F33" s="143" t="n"/>
      <c r="G33" s="143" t="n"/>
      <c r="H33" s="145" t="n"/>
      <c r="I33" s="59" t="n"/>
      <c r="J33" s="66">
        <f>I33*$F$26</f>
        <v/>
      </c>
      <c r="K33" s="50" t="n"/>
      <c r="L33" s="145" t="n"/>
      <c r="M33" s="59" t="n"/>
      <c r="N33" s="23" t="n"/>
      <c r="O33" s="23" t="n"/>
      <c r="P33" s="24" t="n"/>
      <c r="Q33" s="151" t="n"/>
      <c r="R33" s="25" t="n"/>
    </row>
    <row r="34" ht="13.9" customHeight="1" thickBot="1">
      <c r="A34" s="149" t="n"/>
      <c r="B34" s="150" t="n"/>
      <c r="C34" s="149" t="n"/>
      <c r="D34" s="143" t="n"/>
      <c r="E34" s="143" t="n"/>
      <c r="F34" s="143" t="n"/>
      <c r="G34" s="143" t="n"/>
      <c r="H34" s="145" t="n"/>
      <c r="I34" s="59" t="n"/>
      <c r="J34" s="66">
        <f>I34*$F$26</f>
        <v/>
      </c>
      <c r="K34" s="47" t="n"/>
      <c r="L34" s="145" t="n"/>
      <c r="M34" s="59" t="n"/>
      <c r="N34" s="23" t="n"/>
      <c r="O34" s="23" t="n"/>
      <c r="P34" s="24" t="n"/>
      <c r="Q34" s="151" t="n"/>
      <c r="R34" s="25" t="n"/>
    </row>
    <row r="35" ht="13.9" customHeight="1" thickBot="1">
      <c r="A35" s="149" t="n"/>
      <c r="B35" s="150" t="n"/>
      <c r="C35" s="149" t="n"/>
      <c r="D35" s="143" t="n"/>
      <c r="E35" s="143" t="n"/>
      <c r="F35" s="144" t="n"/>
      <c r="G35" s="144" t="n"/>
      <c r="H35" s="145" t="n"/>
      <c r="I35" s="60" t="n"/>
      <c r="J35" s="66">
        <f>I35*$F$26</f>
        <v/>
      </c>
      <c r="K35" s="52" t="n"/>
      <c r="L35" s="158" t="n"/>
      <c r="M35" s="60" t="n"/>
      <c r="N35" s="23" t="n"/>
      <c r="O35" s="23" t="n"/>
      <c r="P35" s="24" t="n"/>
      <c r="Q35" s="151" t="n"/>
      <c r="R35" s="25" t="n"/>
    </row>
    <row r="36" ht="13.9" customHeight="1" thickBot="1">
      <c r="A36" s="149" t="n"/>
      <c r="B36" s="150" t="n"/>
      <c r="C36" s="109" t="inlineStr">
        <is>
          <t>Maj</t>
        </is>
      </c>
      <c r="D36" s="110" t="n"/>
      <c r="E36" s="110" t="n"/>
      <c r="F36" s="105">
        <f>H36/G36</f>
        <v/>
      </c>
      <c r="G36" s="159" t="n"/>
      <c r="H36" s="115" t="n"/>
      <c r="I36" s="69" t="n"/>
      <c r="J36" s="70">
        <f>I36*$F$36</f>
        <v/>
      </c>
      <c r="K36" s="48" t="n"/>
      <c r="L36" s="116">
        <f>H36-SUM(J36:J43)</f>
        <v/>
      </c>
      <c r="M36" s="69" t="n"/>
      <c r="N36" s="26" t="n"/>
      <c r="O36" s="26" t="n"/>
      <c r="P36" s="16" t="n"/>
      <c r="Q36" s="151" t="n"/>
      <c r="R36" s="6" t="n"/>
    </row>
    <row r="37" ht="15.75" customHeight="1" thickBot="1">
      <c r="A37" s="149" t="n"/>
      <c r="B37" s="150" t="n"/>
      <c r="C37" s="149" t="n"/>
      <c r="D37" s="143" t="n"/>
      <c r="E37" s="143" t="n"/>
      <c r="F37" s="143" t="n"/>
      <c r="G37" s="154" t="n"/>
      <c r="I37" s="65" t="n"/>
      <c r="J37" s="71">
        <f>I37*$F$36</f>
        <v/>
      </c>
      <c r="K37" s="49" t="n"/>
      <c r="L37" s="145" t="n"/>
      <c r="M37" s="65" t="n"/>
      <c r="N37" s="27" t="n"/>
      <c r="O37" s="27" t="n"/>
      <c r="P37" s="7" t="n"/>
      <c r="Q37" s="151" t="n"/>
      <c r="R37" s="22" t="n"/>
    </row>
    <row r="38" ht="15.75" customHeight="1" thickBot="1">
      <c r="A38" s="149" t="n"/>
      <c r="B38" s="150" t="n"/>
      <c r="C38" s="149" t="n"/>
      <c r="D38" s="143" t="n"/>
      <c r="E38" s="143" t="n"/>
      <c r="F38" s="143" t="n"/>
      <c r="G38" s="154" t="n"/>
      <c r="I38" s="65" t="n"/>
      <c r="J38" s="71">
        <f>I38*$F$36</f>
        <v/>
      </c>
      <c r="K38" s="47" t="n"/>
      <c r="L38" s="145" t="n"/>
      <c r="M38" s="65" t="n"/>
      <c r="N38" s="27" t="n"/>
      <c r="O38" s="27" t="n"/>
      <c r="P38" s="7" t="n"/>
      <c r="Q38" s="151" t="n"/>
      <c r="R38" s="22" t="n"/>
    </row>
    <row r="39" ht="15.75" customHeight="1" thickBot="1">
      <c r="A39" s="149" t="n"/>
      <c r="B39" s="150" t="n"/>
      <c r="C39" s="149" t="n"/>
      <c r="D39" s="143" t="n"/>
      <c r="E39" s="143" t="n"/>
      <c r="F39" s="143" t="n"/>
      <c r="G39" s="154" t="n"/>
      <c r="I39" s="65" t="n"/>
      <c r="J39" s="71">
        <f>I39*$F$36</f>
        <v/>
      </c>
      <c r="K39" s="47" t="n"/>
      <c r="L39" s="145" t="n"/>
      <c r="M39" s="65" t="n"/>
      <c r="N39" s="27" t="n"/>
      <c r="O39" s="27" t="n"/>
      <c r="P39" s="7" t="n"/>
      <c r="Q39" s="151" t="n"/>
      <c r="R39" s="22" t="n"/>
    </row>
    <row r="40" ht="15.75" customHeight="1" thickBot="1">
      <c r="A40" s="149" t="n"/>
      <c r="B40" s="150" t="n"/>
      <c r="C40" s="149" t="n"/>
      <c r="D40" s="143" t="n"/>
      <c r="E40" s="143" t="n"/>
      <c r="F40" s="143" t="n"/>
      <c r="G40" s="154" t="n"/>
      <c r="I40" s="65" t="n"/>
      <c r="J40" s="71">
        <f>I40*$F$36</f>
        <v/>
      </c>
      <c r="K40" s="47" t="n"/>
      <c r="L40" s="145" t="n"/>
      <c r="M40" s="65" t="n"/>
      <c r="N40" s="27" t="n"/>
      <c r="O40" s="27" t="n"/>
      <c r="P40" s="7" t="n"/>
      <c r="Q40" s="151" t="n"/>
      <c r="R40" s="22" t="n"/>
    </row>
    <row r="41" ht="30.75" customHeight="1" thickBot="1">
      <c r="A41" s="149" t="n"/>
      <c r="B41" s="150" t="n"/>
      <c r="C41" s="149" t="n"/>
      <c r="D41" s="143" t="n"/>
      <c r="E41" s="143" t="n"/>
      <c r="F41" s="143" t="n"/>
      <c r="G41" s="154" t="n"/>
      <c r="I41" s="65" t="n"/>
      <c r="J41" s="71">
        <f>I41*$F$36</f>
        <v/>
      </c>
      <c r="K41" s="50" t="n"/>
      <c r="L41" s="145" t="n"/>
      <c r="M41" s="65" t="n"/>
      <c r="N41" s="27" t="n"/>
      <c r="O41" s="27" t="n"/>
      <c r="P41" s="7" t="n"/>
      <c r="Q41" s="151" t="n"/>
      <c r="R41" s="22" t="n"/>
    </row>
    <row r="42" ht="30.75" customHeight="1" thickBot="1">
      <c r="A42" s="149" t="n"/>
      <c r="B42" s="150" t="n"/>
      <c r="C42" s="149" t="n"/>
      <c r="D42" s="143" t="n"/>
      <c r="E42" s="143" t="n"/>
      <c r="F42" s="143" t="n"/>
      <c r="G42" s="154" t="n"/>
      <c r="I42" s="65" t="n"/>
      <c r="J42" s="71">
        <f>I42*$F$36</f>
        <v/>
      </c>
      <c r="K42" s="51" t="n"/>
      <c r="L42" s="145" t="n"/>
      <c r="M42" s="65" t="n"/>
      <c r="N42" s="27" t="n"/>
      <c r="O42" s="27" t="n"/>
      <c r="P42" s="7" t="n"/>
      <c r="Q42" s="151" t="n"/>
      <c r="R42" s="22" t="n"/>
    </row>
    <row r="43" ht="15.75" customHeight="1" thickBot="1">
      <c r="A43" s="149" t="n"/>
      <c r="B43" s="150" t="n"/>
      <c r="C43" s="149" t="n"/>
      <c r="D43" s="143" t="n"/>
      <c r="E43" s="143" t="n"/>
      <c r="F43" s="144" t="n"/>
      <c r="G43" s="160" t="n"/>
      <c r="I43" s="59" t="n"/>
      <c r="J43" s="120">
        <f>I43*$F$36</f>
        <v/>
      </c>
      <c r="K43" s="52" t="n"/>
      <c r="L43" s="145" t="n"/>
      <c r="M43" s="59" t="n"/>
      <c r="N43" s="23" t="n"/>
      <c r="O43" s="23" t="n"/>
      <c r="P43" s="24" t="n"/>
      <c r="Q43" s="151" t="n"/>
      <c r="R43" s="25" t="n"/>
    </row>
    <row r="44" ht="13.9" customHeight="1" thickBot="1">
      <c r="A44" s="149" t="n"/>
      <c r="B44" s="150" t="n"/>
      <c r="C44" s="102" t="inlineStr">
        <is>
          <t>Czerwiec</t>
        </is>
      </c>
      <c r="D44" s="104" t="n"/>
      <c r="E44" s="104" t="n"/>
      <c r="F44" s="105">
        <f>H44/G44</f>
        <v/>
      </c>
      <c r="G44" s="157" t="n"/>
      <c r="H44" s="106" t="n"/>
      <c r="I44" s="56" t="n"/>
      <c r="J44" s="58">
        <f>I44*$F$44</f>
        <v/>
      </c>
      <c r="K44" s="47" t="n"/>
      <c r="L44" s="111">
        <f>H44-SUM(J44:J55)</f>
        <v/>
      </c>
      <c r="M44" s="56" t="n"/>
      <c r="N44" s="26" t="n"/>
      <c r="O44" s="26" t="n"/>
      <c r="P44" s="16" t="n"/>
      <c r="Q44" s="151" t="n"/>
      <c r="R44" s="6" t="n"/>
    </row>
    <row r="45" ht="15.75" customHeight="1" thickBot="1">
      <c r="A45" s="149" t="n"/>
      <c r="B45" s="150" t="n"/>
      <c r="C45" s="149" t="n"/>
      <c r="D45" s="143" t="n"/>
      <c r="E45" s="143" t="n"/>
      <c r="F45" s="143" t="n"/>
      <c r="G45" s="143" t="n"/>
      <c r="H45" s="145" t="n"/>
      <c r="I45" s="57" t="n"/>
      <c r="J45" s="58">
        <f>I45*$F$44</f>
        <v/>
      </c>
      <c r="K45" s="89" t="n"/>
      <c r="L45" s="145" t="n"/>
      <c r="M45" s="57" t="n"/>
      <c r="N45" s="27" t="n"/>
      <c r="O45" s="27" t="n"/>
      <c r="P45" s="7" t="n"/>
      <c r="Q45" s="151" t="n"/>
      <c r="R45" s="22" t="n"/>
    </row>
    <row r="46" ht="15.75" customHeight="1" thickBot="1">
      <c r="A46" s="149" t="n"/>
      <c r="B46" s="150" t="n"/>
      <c r="C46" s="149" t="n"/>
      <c r="D46" s="143" t="n"/>
      <c r="E46" s="143" t="n"/>
      <c r="F46" s="143" t="n"/>
      <c r="G46" s="143" t="n"/>
      <c r="H46" s="145" t="n"/>
      <c r="I46" s="57" t="n"/>
      <c r="J46" s="58">
        <f>I46*$F$44</f>
        <v/>
      </c>
      <c r="K46" s="53" t="n"/>
      <c r="L46" s="145" t="n"/>
      <c r="M46" s="57" t="n"/>
      <c r="N46" s="27" t="n"/>
      <c r="O46" s="27" t="n"/>
      <c r="P46" s="7" t="n"/>
      <c r="Q46" s="151" t="n"/>
      <c r="R46" s="22" t="n"/>
    </row>
    <row r="47" ht="15.75" customHeight="1" thickBot="1">
      <c r="A47" s="149" t="n"/>
      <c r="B47" s="150" t="n"/>
      <c r="C47" s="149" t="n"/>
      <c r="D47" s="143" t="n"/>
      <c r="E47" s="143" t="n"/>
      <c r="F47" s="143" t="n"/>
      <c r="G47" s="143" t="n"/>
      <c r="H47" s="145" t="n"/>
      <c r="I47" s="57" t="n"/>
      <c r="J47" s="58">
        <f>I47*$F$44</f>
        <v/>
      </c>
      <c r="K47" s="49" t="n"/>
      <c r="L47" s="145" t="n"/>
      <c r="M47" s="57" t="n"/>
      <c r="N47" s="27" t="n"/>
      <c r="O47" s="27" t="n"/>
      <c r="P47" s="7" t="n"/>
      <c r="Q47" s="151" t="n"/>
      <c r="R47" s="22" t="n"/>
    </row>
    <row r="48" ht="15.75" customHeight="1" thickBot="1">
      <c r="A48" s="149" t="n"/>
      <c r="B48" s="150" t="n"/>
      <c r="C48" s="149" t="n"/>
      <c r="D48" s="143" t="n"/>
      <c r="E48" s="143" t="n"/>
      <c r="F48" s="143" t="n"/>
      <c r="G48" s="143" t="n"/>
      <c r="H48" s="145" t="n"/>
      <c r="I48" s="57" t="n"/>
      <c r="J48" s="58">
        <f>I48*$F$44</f>
        <v/>
      </c>
      <c r="K48" s="47" t="n"/>
      <c r="L48" s="145" t="n"/>
      <c r="M48" s="57" t="n"/>
      <c r="N48" s="27" t="n"/>
      <c r="O48" s="27" t="n"/>
      <c r="P48" s="7" t="n"/>
      <c r="Q48" s="151" t="n"/>
      <c r="R48" s="22" t="n"/>
    </row>
    <row r="49" ht="15.75" customHeight="1" thickBot="1">
      <c r="A49" s="149" t="n"/>
      <c r="B49" s="150" t="n"/>
      <c r="C49" s="149" t="n"/>
      <c r="D49" s="143" t="n"/>
      <c r="E49" s="143" t="n"/>
      <c r="F49" s="143" t="n"/>
      <c r="G49" s="143" t="n"/>
      <c r="H49" s="145" t="n"/>
      <c r="I49" s="57" t="n"/>
      <c r="J49" s="58">
        <f>I49*$F$44</f>
        <v/>
      </c>
      <c r="K49" s="47" t="n"/>
      <c r="L49" s="145" t="n"/>
      <c r="M49" s="57" t="n"/>
      <c r="N49" s="27" t="n"/>
      <c r="O49" s="27" t="n"/>
      <c r="P49" s="7" t="n"/>
      <c r="Q49" s="151" t="n"/>
      <c r="R49" s="22" t="n"/>
    </row>
    <row r="50" ht="15.75" customHeight="1" thickBot="1">
      <c r="A50" s="149" t="n"/>
      <c r="B50" s="150" t="n"/>
      <c r="C50" s="149" t="n"/>
      <c r="D50" s="143" t="n"/>
      <c r="E50" s="143" t="n"/>
      <c r="F50" s="143" t="n"/>
      <c r="G50" s="143" t="n"/>
      <c r="H50" s="145" t="n"/>
      <c r="I50" s="57" t="n"/>
      <c r="J50" s="58">
        <f>I50*$F$44</f>
        <v/>
      </c>
      <c r="K50" s="47" t="n"/>
      <c r="L50" s="145" t="n"/>
      <c r="M50" s="57" t="n"/>
      <c r="N50" s="27" t="n"/>
      <c r="O50" s="27" t="n"/>
      <c r="P50" s="7" t="n"/>
      <c r="Q50" s="151" t="n"/>
      <c r="R50" s="22" t="n"/>
    </row>
    <row r="51" ht="15.75" customHeight="1" thickBot="1">
      <c r="A51" s="149" t="n"/>
      <c r="B51" s="150" t="n"/>
      <c r="C51" s="149" t="n"/>
      <c r="D51" s="143" t="n"/>
      <c r="E51" s="143" t="n"/>
      <c r="F51" s="143" t="n"/>
      <c r="G51" s="143" t="n"/>
      <c r="H51" s="145" t="n"/>
      <c r="I51" s="59" t="n"/>
      <c r="J51" s="58">
        <f>I51*$F$44</f>
        <v/>
      </c>
      <c r="K51" s="47" t="n"/>
      <c r="L51" s="145" t="n"/>
      <c r="M51" s="59" t="n"/>
      <c r="N51" s="23" t="n"/>
      <c r="O51" s="23" t="n"/>
      <c r="P51" s="24" t="n"/>
      <c r="Q51" s="151" t="n"/>
      <c r="R51" s="25" t="n"/>
    </row>
    <row r="52" ht="15.75" customHeight="1" thickBot="1">
      <c r="A52" s="149" t="n"/>
      <c r="B52" s="150" t="n"/>
      <c r="C52" s="149" t="n"/>
      <c r="D52" s="143" t="n"/>
      <c r="E52" s="143" t="n"/>
      <c r="F52" s="143" t="n"/>
      <c r="G52" s="143" t="n"/>
      <c r="H52" s="145" t="n"/>
      <c r="I52" s="59" t="n"/>
      <c r="J52" s="58">
        <f>I52*$F$44</f>
        <v/>
      </c>
      <c r="K52" s="47" t="n"/>
      <c r="L52" s="145" t="n"/>
      <c r="M52" s="59" t="n"/>
      <c r="N52" s="23" t="n"/>
      <c r="O52" s="23" t="n"/>
      <c r="P52" s="24" t="n"/>
      <c r="Q52" s="151" t="n"/>
      <c r="R52" s="25" t="n"/>
    </row>
    <row r="53" ht="15.75" customHeight="1" thickBot="1">
      <c r="A53" s="149" t="n"/>
      <c r="B53" s="150" t="n"/>
      <c r="C53" s="149" t="n"/>
      <c r="D53" s="143" t="n"/>
      <c r="E53" s="143" t="n"/>
      <c r="F53" s="143" t="n"/>
      <c r="G53" s="143" t="n"/>
      <c r="H53" s="145" t="n"/>
      <c r="I53" s="59" t="n"/>
      <c r="J53" s="58">
        <f>I53*$F$44</f>
        <v/>
      </c>
      <c r="K53" s="47" t="n"/>
      <c r="L53" s="145" t="n"/>
      <c r="M53" s="59" t="n"/>
      <c r="N53" s="23" t="n"/>
      <c r="O53" s="23" t="n"/>
      <c r="P53" s="24" t="n"/>
      <c r="Q53" s="151" t="n"/>
      <c r="R53" s="25" t="n"/>
    </row>
    <row r="54" ht="15.75" customHeight="1" thickBot="1">
      <c r="A54" s="149" t="n"/>
      <c r="B54" s="150" t="n"/>
      <c r="C54" s="149" t="n"/>
      <c r="D54" s="143" t="n"/>
      <c r="E54" s="143" t="n"/>
      <c r="F54" s="143" t="n"/>
      <c r="G54" s="143" t="n"/>
      <c r="H54" s="145" t="n"/>
      <c r="I54" s="59" t="n"/>
      <c r="J54" s="58">
        <f>I54*$F$44</f>
        <v/>
      </c>
      <c r="K54" s="47" t="n"/>
      <c r="L54" s="145" t="n"/>
      <c r="M54" s="59" t="n"/>
      <c r="N54" s="23" t="n"/>
      <c r="O54" s="23" t="n"/>
      <c r="P54" s="24" t="n"/>
      <c r="Q54" s="151" t="n"/>
      <c r="R54" s="25" t="n"/>
    </row>
    <row r="55" ht="15.75" customHeight="1" thickBot="1">
      <c r="A55" s="149" t="n"/>
      <c r="B55" s="150" t="n"/>
      <c r="C55" s="152" t="n"/>
      <c r="D55" s="144" t="n"/>
      <c r="E55" s="144" t="n"/>
      <c r="F55" s="144" t="n"/>
      <c r="G55" s="144" t="n"/>
      <c r="H55" s="153" t="n"/>
      <c r="I55" s="72" t="n"/>
      <c r="J55" s="58">
        <f>I55*$F$44</f>
        <v/>
      </c>
      <c r="K55" s="52" t="n"/>
      <c r="L55" s="145" t="n"/>
      <c r="M55" s="72" t="n"/>
      <c r="N55" s="28" t="n"/>
      <c r="O55" s="29" t="n"/>
      <c r="P55" s="11" t="n"/>
      <c r="Q55" s="151" t="n"/>
      <c r="R55" s="30" t="n"/>
    </row>
    <row r="56" ht="13.9" customHeight="1" thickBot="1">
      <c r="A56" s="149" t="n"/>
      <c r="B56" s="150" t="n"/>
      <c r="C56" s="102" t="inlineStr">
        <is>
          <t>Lipiec</t>
        </is>
      </c>
      <c r="D56" s="104" t="n"/>
      <c r="E56" s="103" t="n"/>
      <c r="F56" s="132">
        <f>H56/G56</f>
        <v/>
      </c>
      <c r="G56" s="118" t="n"/>
      <c r="H56" s="106" t="n"/>
      <c r="I56" s="65" t="n"/>
      <c r="J56" s="73">
        <f>I56*$F$56</f>
        <v/>
      </c>
      <c r="K56" s="48" t="n"/>
      <c r="L56" s="111">
        <f>H56-SUM(J56:J63)</f>
        <v/>
      </c>
      <c r="M56" s="65" t="n"/>
      <c r="N56" s="18" t="n"/>
      <c r="O56" s="26" t="n"/>
      <c r="P56" s="16" t="n"/>
      <c r="Q56" s="151" t="n"/>
      <c r="R56" s="31" t="n"/>
    </row>
    <row r="57" ht="15.75" customHeight="1" thickBot="1">
      <c r="A57" s="149" t="n"/>
      <c r="B57" s="150" t="n"/>
      <c r="C57" s="149" t="n"/>
      <c r="D57" s="143" t="n"/>
      <c r="E57" s="143" t="n"/>
      <c r="F57" s="143" t="n"/>
      <c r="G57" s="143" t="n"/>
      <c r="H57" s="145" t="n"/>
      <c r="I57" s="57" t="n"/>
      <c r="J57" s="71">
        <f>I57*$F$56</f>
        <v/>
      </c>
      <c r="K57" s="47" t="n"/>
      <c r="L57" s="145" t="n"/>
      <c r="M57" s="57" t="n"/>
      <c r="N57" s="15" t="n"/>
      <c r="O57" s="27" t="n"/>
      <c r="P57" s="7" t="n"/>
      <c r="Q57" s="151" t="n"/>
      <c r="R57" s="25" t="n"/>
    </row>
    <row r="58" ht="15.75" customHeight="1" thickBot="1">
      <c r="A58" s="149" t="n"/>
      <c r="B58" s="150" t="n"/>
      <c r="C58" s="149" t="n"/>
      <c r="D58" s="143" t="n"/>
      <c r="E58" s="143" t="n"/>
      <c r="F58" s="143" t="n"/>
      <c r="G58" s="143" t="n"/>
      <c r="H58" s="145" t="n"/>
      <c r="I58" s="57" t="n"/>
      <c r="J58" s="71">
        <f>I58*$F$56</f>
        <v/>
      </c>
      <c r="K58" s="47" t="n"/>
      <c r="L58" s="145" t="n"/>
      <c r="M58" s="57" t="n"/>
      <c r="N58" s="15" t="n"/>
      <c r="O58" s="27" t="n"/>
      <c r="P58" s="7" t="n"/>
      <c r="Q58" s="151" t="n"/>
      <c r="R58" s="25" t="n"/>
    </row>
    <row r="59" ht="15.75" customHeight="1" thickBot="1">
      <c r="A59" s="149" t="n"/>
      <c r="B59" s="150" t="n"/>
      <c r="C59" s="149" t="n"/>
      <c r="D59" s="143" t="n"/>
      <c r="E59" s="143" t="n"/>
      <c r="F59" s="143" t="n"/>
      <c r="G59" s="143" t="n"/>
      <c r="H59" s="145" t="n"/>
      <c r="I59" s="57" t="n"/>
      <c r="J59" s="71">
        <f>I59*$F$56</f>
        <v/>
      </c>
      <c r="K59" s="47" t="n"/>
      <c r="L59" s="145" t="n"/>
      <c r="M59" s="57" t="n"/>
      <c r="N59" s="15" t="n"/>
      <c r="O59" s="27" t="n"/>
      <c r="P59" s="7" t="n"/>
      <c r="Q59" s="151" t="n"/>
      <c r="R59" s="25" t="n"/>
    </row>
    <row r="60" ht="15.75" customHeight="1" thickBot="1">
      <c r="A60" s="149" t="n"/>
      <c r="B60" s="150" t="n"/>
      <c r="C60" s="149" t="n"/>
      <c r="D60" s="143" t="n"/>
      <c r="E60" s="143" t="n"/>
      <c r="F60" s="143" t="n"/>
      <c r="G60" s="143" t="n"/>
      <c r="H60" s="145" t="n"/>
      <c r="I60" s="57" t="n"/>
      <c r="J60" s="71">
        <f>I60*$F$56</f>
        <v/>
      </c>
      <c r="K60" s="47" t="n"/>
      <c r="L60" s="145" t="n"/>
      <c r="M60" s="57" t="n"/>
      <c r="N60" s="15" t="n"/>
      <c r="O60" s="27" t="n"/>
      <c r="P60" s="7" t="n"/>
      <c r="Q60" s="151" t="n"/>
      <c r="R60" s="25" t="n"/>
    </row>
    <row r="61" ht="15.75" customHeight="1" thickBot="1">
      <c r="A61" s="149" t="n"/>
      <c r="B61" s="150" t="n"/>
      <c r="C61" s="149" t="n"/>
      <c r="D61" s="143" t="n"/>
      <c r="E61" s="143" t="n"/>
      <c r="F61" s="143" t="n"/>
      <c r="G61" s="143" t="n"/>
      <c r="H61" s="145" t="n"/>
      <c r="I61" s="57" t="n"/>
      <c r="J61" s="87">
        <f>I61*$F$56</f>
        <v/>
      </c>
      <c r="K61" s="49" t="n"/>
      <c r="L61" s="145" t="n"/>
      <c r="M61" s="57" t="n"/>
      <c r="N61" s="15" t="n"/>
      <c r="O61" s="27" t="n"/>
      <c r="P61" s="7" t="n"/>
      <c r="Q61" s="151" t="n"/>
      <c r="R61" s="25" t="n"/>
    </row>
    <row r="62" ht="15.75" customHeight="1" thickBot="1">
      <c r="A62" s="149" t="n"/>
      <c r="B62" s="150" t="n"/>
      <c r="C62" s="149" t="n"/>
      <c r="D62" s="143" t="n"/>
      <c r="E62" s="143" t="n"/>
      <c r="F62" s="143" t="n"/>
      <c r="G62" s="143" t="n"/>
      <c r="H62" s="145" t="n"/>
      <c r="I62" s="57" t="n"/>
      <c r="J62" s="87">
        <f>I62*$F$56</f>
        <v/>
      </c>
      <c r="K62" s="88" t="n"/>
      <c r="L62" s="145" t="n"/>
      <c r="M62" s="57" t="n"/>
      <c r="N62" s="15" t="n"/>
      <c r="O62" s="27" t="n"/>
      <c r="P62" s="7" t="n"/>
      <c r="Q62" s="151" t="n"/>
      <c r="R62" s="25" t="n"/>
    </row>
    <row r="63" ht="15.75" customHeight="1" thickBot="1">
      <c r="A63" s="149" t="n"/>
      <c r="B63" s="150" t="n"/>
      <c r="C63" s="152" t="n"/>
      <c r="D63" s="144" t="n"/>
      <c r="E63" s="144" t="n"/>
      <c r="F63" s="143" t="n"/>
      <c r="G63" s="143" t="n"/>
      <c r="H63" s="153" t="n"/>
      <c r="I63" s="57" t="n"/>
      <c r="J63" s="74">
        <f>I63*$F$56</f>
        <v/>
      </c>
      <c r="K63" s="52" t="n"/>
      <c r="L63" s="145" t="n"/>
      <c r="M63" s="57" t="n"/>
      <c r="N63" s="15" t="n"/>
      <c r="O63" s="27" t="n"/>
      <c r="P63" s="7" t="n"/>
      <c r="Q63" s="151" t="n"/>
      <c r="R63" s="25" t="n"/>
    </row>
    <row r="64" ht="13.9" customHeight="1" thickBot="1">
      <c r="A64" s="149" t="n"/>
      <c r="B64" s="150" t="n"/>
      <c r="C64" s="102" t="inlineStr">
        <is>
          <t>Sierpień</t>
        </is>
      </c>
      <c r="D64" s="104" t="n"/>
      <c r="E64" s="129" t="n"/>
      <c r="F64" s="136">
        <f>H64/G64</f>
        <v/>
      </c>
      <c r="G64" s="161" t="n"/>
      <c r="H64" s="131" t="n"/>
      <c r="I64" s="56" t="n"/>
      <c r="J64" s="75">
        <f>I64*$F$64</f>
        <v/>
      </c>
      <c r="K64" s="48" t="n"/>
      <c r="L64" s="107">
        <f>H64-SUM(J64:J75)</f>
        <v/>
      </c>
      <c r="M64" s="56" t="n"/>
      <c r="N64" s="18" t="n"/>
      <c r="O64" s="26" t="n"/>
      <c r="P64" s="16" t="n"/>
      <c r="Q64" s="151" t="n"/>
      <c r="R64" s="31" t="n"/>
    </row>
    <row r="65" ht="15.75" customHeight="1" thickBot="1">
      <c r="A65" s="149" t="n"/>
      <c r="B65" s="150" t="n"/>
      <c r="C65" s="149" t="n"/>
      <c r="D65" s="143" t="n"/>
      <c r="E65" s="145" t="n"/>
      <c r="F65" s="162" t="n"/>
      <c r="G65" s="162" t="n"/>
      <c r="H65" s="163" t="n"/>
      <c r="I65" s="57" t="n"/>
      <c r="J65" s="71">
        <f>I65*$F$64</f>
        <v/>
      </c>
      <c r="K65" s="47" t="n"/>
      <c r="L65" s="151" t="n"/>
      <c r="M65" s="57" t="n"/>
      <c r="N65" s="15" t="n"/>
      <c r="O65" s="27" t="n"/>
      <c r="P65" s="7" t="n"/>
      <c r="Q65" s="151" t="n"/>
      <c r="R65" s="25" t="n"/>
    </row>
    <row r="66" ht="15.75" customHeight="1" thickBot="1">
      <c r="A66" s="149" t="n"/>
      <c r="B66" s="150" t="n"/>
      <c r="C66" s="149" t="n"/>
      <c r="D66" s="143" t="n"/>
      <c r="E66" s="145" t="n"/>
      <c r="F66" s="162" t="n"/>
      <c r="G66" s="162" t="n"/>
      <c r="H66" s="163" t="n"/>
      <c r="I66" s="57" t="n"/>
      <c r="J66" s="71">
        <f>I66*$F$64</f>
        <v/>
      </c>
      <c r="K66" s="47" t="n"/>
      <c r="L66" s="151" t="n"/>
      <c r="M66" s="57" t="n"/>
      <c r="N66" s="15" t="n"/>
      <c r="O66" s="27" t="n"/>
      <c r="P66" s="7" t="n"/>
      <c r="Q66" s="151" t="n"/>
      <c r="R66" s="25" t="n"/>
    </row>
    <row r="67" ht="15.75" customHeight="1" thickBot="1">
      <c r="A67" s="149" t="n"/>
      <c r="B67" s="150" t="n"/>
      <c r="C67" s="149" t="n"/>
      <c r="D67" s="143" t="n"/>
      <c r="E67" s="145" t="n"/>
      <c r="F67" s="162" t="n"/>
      <c r="G67" s="162" t="n"/>
      <c r="H67" s="163" t="n"/>
      <c r="I67" s="59" t="n"/>
      <c r="J67" s="71">
        <f>I67*$F$64</f>
        <v/>
      </c>
      <c r="K67" s="47" t="n"/>
      <c r="L67" s="151" t="n"/>
      <c r="M67" s="59" t="n"/>
      <c r="N67" s="45" t="n"/>
      <c r="O67" s="23" t="n"/>
      <c r="P67" s="24" t="n"/>
      <c r="Q67" s="151" t="n"/>
      <c r="R67" s="25" t="n"/>
    </row>
    <row r="68" ht="15.75" customHeight="1" thickBot="1">
      <c r="A68" s="149" t="n"/>
      <c r="B68" s="150" t="n"/>
      <c r="C68" s="149" t="n"/>
      <c r="D68" s="143" t="n"/>
      <c r="E68" s="145" t="n"/>
      <c r="F68" s="162" t="n"/>
      <c r="G68" s="162" t="n"/>
      <c r="H68" s="163" t="n"/>
      <c r="I68" s="59" t="n"/>
      <c r="J68" s="71">
        <f>I68*$F$64</f>
        <v/>
      </c>
      <c r="K68" s="47" t="n"/>
      <c r="L68" s="151" t="n"/>
      <c r="M68" s="59" t="n"/>
      <c r="N68" s="45" t="n"/>
      <c r="O68" s="23" t="n"/>
      <c r="P68" s="24" t="n"/>
      <c r="Q68" s="151" t="n"/>
      <c r="R68" s="25" t="n"/>
    </row>
    <row r="69" ht="15.75" customHeight="1" thickBot="1">
      <c r="A69" s="149" t="n"/>
      <c r="B69" s="150" t="n"/>
      <c r="C69" s="149" t="n"/>
      <c r="D69" s="143" t="n"/>
      <c r="E69" s="145" t="n"/>
      <c r="F69" s="162" t="n"/>
      <c r="G69" s="162" t="n"/>
      <c r="H69" s="163" t="n"/>
      <c r="I69" s="59" t="n"/>
      <c r="J69" s="71">
        <f>I69*$F$64</f>
        <v/>
      </c>
      <c r="K69" s="47" t="n"/>
      <c r="L69" s="151" t="n"/>
      <c r="M69" s="59" t="n"/>
      <c r="N69" s="45" t="n"/>
      <c r="O69" s="23" t="n"/>
      <c r="P69" s="24" t="n"/>
      <c r="Q69" s="151" t="n"/>
      <c r="R69" s="25" t="n"/>
    </row>
    <row r="70" ht="15.75" customHeight="1" thickBot="1">
      <c r="A70" s="149" t="n"/>
      <c r="B70" s="150" t="n"/>
      <c r="C70" s="149" t="n"/>
      <c r="D70" s="143" t="n"/>
      <c r="E70" s="145" t="n"/>
      <c r="F70" s="162" t="n"/>
      <c r="G70" s="162" t="n"/>
      <c r="H70" s="163" t="n"/>
      <c r="I70" s="59" t="n"/>
      <c r="J70" s="71">
        <f>I70*$F$64</f>
        <v/>
      </c>
      <c r="K70" s="47" t="n"/>
      <c r="L70" s="151" t="n"/>
      <c r="M70" s="59" t="n"/>
      <c r="N70" s="45" t="n"/>
      <c r="O70" s="23" t="n"/>
      <c r="P70" s="24" t="n"/>
      <c r="Q70" s="151" t="n"/>
      <c r="R70" s="25" t="n"/>
    </row>
    <row r="71" ht="15.75" customHeight="1" thickBot="1">
      <c r="A71" s="149" t="n"/>
      <c r="B71" s="150" t="n"/>
      <c r="C71" s="149" t="n"/>
      <c r="D71" s="143" t="n"/>
      <c r="E71" s="145" t="n"/>
      <c r="F71" s="162" t="n"/>
      <c r="G71" s="162" t="n"/>
      <c r="H71" s="163" t="n"/>
      <c r="I71" s="59" t="n"/>
      <c r="J71" s="71">
        <f>I71*$F$64</f>
        <v/>
      </c>
      <c r="K71" s="49" t="n"/>
      <c r="L71" s="151" t="n"/>
      <c r="M71" s="59" t="n"/>
      <c r="N71" s="45" t="n"/>
      <c r="O71" s="23" t="n"/>
      <c r="P71" s="24" t="n"/>
      <c r="Q71" s="151" t="n"/>
      <c r="R71" s="25" t="n"/>
    </row>
    <row r="72" ht="15.75" customHeight="1" thickBot="1">
      <c r="A72" s="149" t="n"/>
      <c r="B72" s="150" t="n"/>
      <c r="C72" s="149" t="n"/>
      <c r="D72" s="143" t="n"/>
      <c r="E72" s="145" t="n"/>
      <c r="F72" s="162" t="n"/>
      <c r="G72" s="162" t="n"/>
      <c r="H72" s="163" t="n"/>
      <c r="I72" s="59" t="n"/>
      <c r="J72" s="71">
        <f>I72*$F$64</f>
        <v/>
      </c>
      <c r="K72" s="47" t="n"/>
      <c r="L72" s="151" t="n"/>
      <c r="M72" s="59" t="n"/>
      <c r="N72" s="45" t="n"/>
      <c r="O72" s="23" t="n"/>
      <c r="P72" s="24" t="n"/>
      <c r="Q72" s="151" t="n"/>
      <c r="R72" s="25" t="n"/>
    </row>
    <row r="73" ht="15.75" customHeight="1" thickBot="1">
      <c r="A73" s="149" t="n"/>
      <c r="B73" s="150" t="n"/>
      <c r="C73" s="149" t="n"/>
      <c r="D73" s="143" t="n"/>
      <c r="E73" s="145" t="n"/>
      <c r="F73" s="162" t="n"/>
      <c r="G73" s="162" t="n"/>
      <c r="H73" s="163" t="n"/>
      <c r="I73" s="59" t="n"/>
      <c r="J73" s="71">
        <f>I73*$F$64</f>
        <v/>
      </c>
      <c r="K73" s="47" t="n"/>
      <c r="L73" s="151" t="n"/>
      <c r="M73" s="59" t="n"/>
      <c r="N73" s="45" t="n"/>
      <c r="O73" s="23" t="n"/>
      <c r="P73" s="24" t="n"/>
      <c r="Q73" s="151" t="n"/>
      <c r="R73" s="25" t="n"/>
    </row>
    <row r="74" ht="15.75" customHeight="1" thickBot="1">
      <c r="A74" s="149" t="n"/>
      <c r="B74" s="150" t="n"/>
      <c r="C74" s="149" t="n"/>
      <c r="D74" s="143" t="n"/>
      <c r="E74" s="145" t="n"/>
      <c r="F74" s="162" t="n"/>
      <c r="G74" s="162" t="n"/>
      <c r="H74" s="163" t="n"/>
      <c r="I74" s="59" t="n"/>
      <c r="J74" s="71">
        <f>I74*$F$64</f>
        <v/>
      </c>
      <c r="K74" s="47" t="n"/>
      <c r="L74" s="151" t="n"/>
      <c r="M74" s="59" t="n"/>
      <c r="N74" s="45" t="n"/>
      <c r="O74" s="23" t="n"/>
      <c r="P74" s="24" t="n"/>
      <c r="Q74" s="151" t="n"/>
      <c r="R74" s="25" t="n"/>
    </row>
    <row r="75" ht="15.75" customHeight="1" thickBot="1">
      <c r="A75" s="149" t="n"/>
      <c r="B75" s="150" t="n"/>
      <c r="C75" s="152" t="n"/>
      <c r="D75" s="144" t="n"/>
      <c r="E75" s="153" t="n"/>
      <c r="F75" s="162" t="n"/>
      <c r="G75" s="164" t="n"/>
      <c r="H75" s="165" t="n"/>
      <c r="I75" s="59" t="n"/>
      <c r="J75" s="71">
        <f>I75*$F$64</f>
        <v/>
      </c>
      <c r="K75" s="52" t="n"/>
      <c r="L75" s="146" t="n"/>
      <c r="M75" s="59" t="n"/>
      <c r="N75" s="45" t="n"/>
      <c r="O75" s="23" t="n"/>
      <c r="P75" s="24" t="n"/>
      <c r="Q75" s="151" t="n"/>
      <c r="R75" s="25" t="n"/>
    </row>
    <row r="76" ht="13.9" customHeight="1" thickBot="1">
      <c r="A76" s="149" t="n"/>
      <c r="B76" s="150" t="n"/>
      <c r="C76" s="102" t="inlineStr">
        <is>
          <t>Wrzesień</t>
        </is>
      </c>
      <c r="D76" s="104" t="n"/>
      <c r="E76" s="138" t="n"/>
      <c r="F76" s="132">
        <f>H76/G76</f>
        <v/>
      </c>
      <c r="G76" s="119" t="n"/>
      <c r="H76" s="106" t="n"/>
      <c r="I76" s="56" t="n"/>
      <c r="J76" s="75">
        <f>I76*$F$76</f>
        <v/>
      </c>
      <c r="K76" s="48" t="n"/>
      <c r="L76" s="111">
        <f>H76-SUM(J76:J87)</f>
        <v/>
      </c>
      <c r="M76" s="56" t="n"/>
      <c r="N76" s="18" t="n"/>
      <c r="O76" s="26" t="n"/>
      <c r="P76" s="16" t="n"/>
      <c r="Q76" s="151" t="n"/>
      <c r="R76" s="31" t="n"/>
    </row>
    <row r="77" ht="15.75" customHeight="1" thickBot="1">
      <c r="A77" s="149" t="n"/>
      <c r="B77" s="150" t="n"/>
      <c r="C77" s="149" t="n"/>
      <c r="D77" s="143" t="n"/>
      <c r="E77" s="143" t="n"/>
      <c r="F77" s="143" t="n"/>
      <c r="G77" s="143" t="n"/>
      <c r="H77" s="145" t="n"/>
      <c r="I77" s="57" t="n"/>
      <c r="J77" s="71">
        <f>I77*$F$76</f>
        <v/>
      </c>
      <c r="K77" s="47" t="n"/>
      <c r="L77" s="145" t="n"/>
      <c r="M77" s="57" t="n"/>
      <c r="N77" s="15" t="n"/>
      <c r="O77" s="27" t="n"/>
      <c r="P77" s="7" t="n"/>
      <c r="Q77" s="151" t="n"/>
      <c r="R77" s="25" t="n"/>
    </row>
    <row r="78" ht="15.75" customHeight="1" thickBot="1">
      <c r="A78" s="149" t="n"/>
      <c r="B78" s="150" t="n"/>
      <c r="C78" s="149" t="n"/>
      <c r="D78" s="143" t="n"/>
      <c r="E78" s="143" t="n"/>
      <c r="F78" s="143" t="n"/>
      <c r="G78" s="143" t="n"/>
      <c r="H78" s="145" t="n"/>
      <c r="I78" s="57" t="n"/>
      <c r="J78" s="71">
        <f>I78*$F$76</f>
        <v/>
      </c>
      <c r="K78" s="47" t="n"/>
      <c r="L78" s="145" t="n"/>
      <c r="M78" s="57" t="n"/>
      <c r="N78" s="15" t="n"/>
      <c r="O78" s="27" t="n"/>
      <c r="P78" s="7" t="n"/>
      <c r="Q78" s="151" t="n"/>
      <c r="R78" s="25" t="n"/>
    </row>
    <row r="79" ht="15.75" customHeight="1" thickBot="1">
      <c r="A79" s="149" t="n"/>
      <c r="B79" s="150" t="n"/>
      <c r="C79" s="149" t="n"/>
      <c r="D79" s="143" t="n"/>
      <c r="E79" s="143" t="n"/>
      <c r="F79" s="143" t="n"/>
      <c r="G79" s="143" t="n"/>
      <c r="H79" s="145" t="n"/>
      <c r="I79" s="59" t="n"/>
      <c r="J79" s="71">
        <f>I79*$F$76</f>
        <v/>
      </c>
      <c r="K79" s="47" t="n"/>
      <c r="L79" s="145" t="n"/>
      <c r="M79" s="59" t="n"/>
      <c r="N79" s="45" t="n"/>
      <c r="O79" s="23" t="n"/>
      <c r="P79" s="24" t="n"/>
      <c r="Q79" s="151" t="n"/>
      <c r="R79" s="25" t="n"/>
    </row>
    <row r="80" ht="15.75" customHeight="1" thickBot="1">
      <c r="A80" s="149" t="n"/>
      <c r="B80" s="150" t="n"/>
      <c r="C80" s="149" t="n"/>
      <c r="D80" s="143" t="n"/>
      <c r="E80" s="143" t="n"/>
      <c r="F80" s="143" t="n"/>
      <c r="G80" s="143" t="n"/>
      <c r="H80" s="145" t="n"/>
      <c r="I80" s="59" t="n"/>
      <c r="J80" s="71">
        <f>I80*$F$76</f>
        <v/>
      </c>
      <c r="K80" s="47" t="n"/>
      <c r="L80" s="145" t="n"/>
      <c r="M80" s="59" t="n"/>
      <c r="N80" s="45" t="n"/>
      <c r="O80" s="23" t="n"/>
      <c r="P80" s="24" t="n"/>
      <c r="Q80" s="151" t="n"/>
      <c r="R80" s="25" t="n"/>
    </row>
    <row r="81" ht="15.75" customHeight="1" thickBot="1">
      <c r="A81" s="149" t="n"/>
      <c r="B81" s="150" t="n"/>
      <c r="C81" s="149" t="n"/>
      <c r="D81" s="143" t="n"/>
      <c r="E81" s="143" t="n"/>
      <c r="F81" s="143" t="n"/>
      <c r="G81" s="143" t="n"/>
      <c r="H81" s="145" t="n"/>
      <c r="I81" s="59" t="n"/>
      <c r="J81" s="71">
        <f>I81*$F$76</f>
        <v/>
      </c>
      <c r="K81" s="47" t="n"/>
      <c r="L81" s="145" t="n"/>
      <c r="M81" s="59" t="n"/>
      <c r="N81" s="45" t="n"/>
      <c r="O81" s="23" t="n"/>
      <c r="P81" s="24" t="n"/>
      <c r="Q81" s="151" t="n"/>
      <c r="R81" s="25" t="n"/>
    </row>
    <row r="82" ht="15.75" customHeight="1" thickBot="1">
      <c r="A82" s="149" t="n"/>
      <c r="B82" s="150" t="n"/>
      <c r="C82" s="149" t="n"/>
      <c r="D82" s="143" t="n"/>
      <c r="E82" s="143" t="n"/>
      <c r="F82" s="143" t="n"/>
      <c r="G82" s="143" t="n"/>
      <c r="H82" s="145" t="n"/>
      <c r="I82" s="59" t="n"/>
      <c r="J82" s="71">
        <f>I82*$F$76</f>
        <v/>
      </c>
      <c r="K82" s="47" t="n"/>
      <c r="L82" s="145" t="n"/>
      <c r="M82" s="59" t="n"/>
      <c r="N82" s="45" t="n"/>
      <c r="O82" s="23" t="n"/>
      <c r="P82" s="24" t="n"/>
      <c r="Q82" s="151" t="n"/>
      <c r="R82" s="25" t="n"/>
    </row>
    <row r="83" ht="15.75" customHeight="1" thickBot="1">
      <c r="A83" s="149" t="n"/>
      <c r="B83" s="150" t="n"/>
      <c r="C83" s="149" t="n"/>
      <c r="D83" s="143" t="n"/>
      <c r="E83" s="143" t="n"/>
      <c r="F83" s="143" t="n"/>
      <c r="G83" s="143" t="n"/>
      <c r="H83" s="145" t="n"/>
      <c r="I83" s="59" t="n"/>
      <c r="J83" s="71">
        <f>I83*$F$76</f>
        <v/>
      </c>
      <c r="K83" s="47" t="n"/>
      <c r="L83" s="145" t="n"/>
      <c r="M83" s="59" t="n"/>
      <c r="N83" s="45" t="n"/>
      <c r="O83" s="23" t="n"/>
      <c r="P83" s="24" t="n"/>
      <c r="Q83" s="151" t="n"/>
      <c r="R83" s="25" t="n"/>
    </row>
    <row r="84" ht="15.75" customHeight="1" thickBot="1">
      <c r="A84" s="149" t="n"/>
      <c r="B84" s="150" t="n"/>
      <c r="C84" s="149" t="n"/>
      <c r="D84" s="143" t="n"/>
      <c r="E84" s="143" t="n"/>
      <c r="F84" s="143" t="n"/>
      <c r="G84" s="143" t="n"/>
      <c r="H84" s="145" t="n"/>
      <c r="I84" s="59" t="n"/>
      <c r="J84" s="71">
        <f>I84*$F$76</f>
        <v/>
      </c>
      <c r="K84" s="49" t="n"/>
      <c r="L84" s="145" t="n"/>
      <c r="M84" s="59" t="n"/>
      <c r="N84" s="45" t="n"/>
      <c r="O84" s="23" t="n"/>
      <c r="P84" s="24" t="n"/>
      <c r="Q84" s="151" t="n"/>
      <c r="R84" s="25" t="n"/>
    </row>
    <row r="85" ht="15.75" customHeight="1" thickBot="1">
      <c r="A85" s="149" t="n"/>
      <c r="B85" s="150" t="n"/>
      <c r="C85" s="149" t="n"/>
      <c r="D85" s="143" t="n"/>
      <c r="E85" s="143" t="n"/>
      <c r="F85" s="143" t="n"/>
      <c r="G85" s="143" t="n"/>
      <c r="H85" s="145" t="n"/>
      <c r="I85" s="59" t="n"/>
      <c r="J85" s="71">
        <f>I85*$F$76</f>
        <v/>
      </c>
      <c r="K85" s="47" t="n"/>
      <c r="L85" s="145" t="n"/>
      <c r="M85" s="59" t="n"/>
      <c r="N85" s="45" t="n"/>
      <c r="O85" s="23" t="n"/>
      <c r="P85" s="24" t="n"/>
      <c r="Q85" s="151" t="n"/>
      <c r="R85" s="25" t="n"/>
    </row>
    <row r="86" ht="15.75" customHeight="1" thickBot="1">
      <c r="A86" s="149" t="n"/>
      <c r="B86" s="150" t="n"/>
      <c r="C86" s="149" t="n"/>
      <c r="D86" s="143" t="n"/>
      <c r="E86" s="143" t="n"/>
      <c r="F86" s="143" t="n"/>
      <c r="G86" s="143" t="n"/>
      <c r="H86" s="145" t="n"/>
      <c r="I86" s="59" t="n"/>
      <c r="J86" s="71">
        <f>I86*$F$76</f>
        <v/>
      </c>
      <c r="K86" s="47" t="n"/>
      <c r="L86" s="145" t="n"/>
      <c r="M86" s="59" t="n"/>
      <c r="N86" s="45" t="n"/>
      <c r="O86" s="23" t="n"/>
      <c r="P86" s="24" t="n"/>
      <c r="Q86" s="151" t="n"/>
      <c r="R86" s="25" t="n"/>
    </row>
    <row r="87" ht="15.75" customHeight="1" thickBot="1">
      <c r="A87" s="149" t="n"/>
      <c r="B87" s="150" t="n"/>
      <c r="C87" s="152" t="n"/>
      <c r="D87" s="144" t="n"/>
      <c r="E87" s="144" t="n"/>
      <c r="F87" s="143" t="n"/>
      <c r="G87" s="143" t="n"/>
      <c r="H87" s="153" t="n"/>
      <c r="I87" s="59" t="n"/>
      <c r="J87" s="71">
        <f>I87*$F$76</f>
        <v/>
      </c>
      <c r="K87" s="52" t="n"/>
      <c r="L87" s="145" t="n"/>
      <c r="M87" s="59" t="n"/>
      <c r="N87" s="45" t="n"/>
      <c r="O87" s="23" t="n"/>
      <c r="P87" s="24" t="n"/>
      <c r="Q87" s="151" t="n"/>
      <c r="R87" s="25" t="n"/>
    </row>
    <row r="88" ht="13.9" customHeight="1" thickBot="1">
      <c r="A88" s="149" t="n"/>
      <c r="B88" s="150" t="n"/>
      <c r="C88" s="102" t="inlineStr">
        <is>
          <t>Październik</t>
        </is>
      </c>
      <c r="D88" s="104" t="n"/>
      <c r="E88" s="104" t="n"/>
      <c r="F88" s="166">
        <f>H88/G88</f>
        <v/>
      </c>
      <c r="G88" s="157" t="n"/>
      <c r="H88" s="106" t="n"/>
      <c r="I88" s="56" t="n"/>
      <c r="J88" s="75">
        <f>I88*$F$88</f>
        <v/>
      </c>
      <c r="K88" s="48" t="n"/>
      <c r="L88" s="111">
        <f>H88-SUM(J88:J103)</f>
        <v/>
      </c>
      <c r="M88" s="56" t="n"/>
      <c r="N88" s="18" t="n"/>
      <c r="O88" s="26" t="n"/>
      <c r="P88" s="16" t="n"/>
      <c r="Q88" s="151" t="n"/>
      <c r="R88" s="31" t="n"/>
    </row>
    <row r="89" ht="15.75" customHeight="1" thickBot="1">
      <c r="A89" s="149" t="n"/>
      <c r="B89" s="150" t="n"/>
      <c r="C89" s="149" t="n"/>
      <c r="D89" s="143" t="n"/>
      <c r="E89" s="143" t="n"/>
      <c r="F89" s="143" t="n"/>
      <c r="G89" s="143" t="n"/>
      <c r="H89" s="145" t="n"/>
      <c r="I89" s="57" t="n"/>
      <c r="J89" s="71">
        <f>I89*$F$88</f>
        <v/>
      </c>
      <c r="K89" s="47" t="n"/>
      <c r="L89" s="145" t="n"/>
      <c r="M89" s="57" t="n"/>
      <c r="N89" s="15" t="n"/>
      <c r="O89" s="27" t="n"/>
      <c r="P89" s="7" t="n"/>
      <c r="Q89" s="151" t="n"/>
      <c r="R89" s="25" t="n"/>
    </row>
    <row r="90" ht="15.75" customHeight="1" thickBot="1">
      <c r="A90" s="149" t="n"/>
      <c r="B90" s="150" t="n"/>
      <c r="C90" s="149" t="n"/>
      <c r="D90" s="143" t="n"/>
      <c r="E90" s="143" t="n"/>
      <c r="F90" s="143" t="n"/>
      <c r="G90" s="143" t="n"/>
      <c r="H90" s="145" t="n"/>
      <c r="I90" s="57" t="n"/>
      <c r="J90" s="71">
        <f>I90*$F$88</f>
        <v/>
      </c>
      <c r="K90" s="47" t="n"/>
      <c r="L90" s="145" t="n"/>
      <c r="M90" s="57" t="n"/>
      <c r="N90" s="15" t="n"/>
      <c r="O90" s="27" t="n"/>
      <c r="P90" s="7" t="n"/>
      <c r="Q90" s="151" t="n"/>
      <c r="R90" s="25" t="n"/>
    </row>
    <row r="91" ht="30.75" customHeight="1" thickBot="1">
      <c r="A91" s="149" t="n"/>
      <c r="B91" s="150" t="n"/>
      <c r="C91" s="149" t="n"/>
      <c r="D91" s="143" t="n"/>
      <c r="E91" s="143" t="n"/>
      <c r="F91" s="143" t="n"/>
      <c r="G91" s="143" t="n"/>
      <c r="H91" s="145" t="n"/>
      <c r="I91" s="57" t="n"/>
      <c r="J91" s="71">
        <f>I91*$F$88</f>
        <v/>
      </c>
      <c r="K91" s="50" t="n"/>
      <c r="L91" s="145" t="n"/>
      <c r="M91" s="57" t="n"/>
      <c r="N91" s="15" t="n"/>
      <c r="O91" s="27" t="n"/>
      <c r="P91" s="7" t="n"/>
      <c r="Q91" s="151" t="n"/>
      <c r="R91" s="25" t="n"/>
    </row>
    <row r="92" ht="15.75" customHeight="1" thickBot="1">
      <c r="A92" s="149" t="n"/>
      <c r="B92" s="150" t="n"/>
      <c r="C92" s="149" t="n"/>
      <c r="D92" s="143" t="n"/>
      <c r="E92" s="143" t="n"/>
      <c r="F92" s="143" t="n"/>
      <c r="G92" s="143" t="n"/>
      <c r="H92" s="145" t="n"/>
      <c r="I92" s="57" t="n"/>
      <c r="J92" s="71">
        <f>I92*$F$88</f>
        <v/>
      </c>
      <c r="K92" s="47" t="n"/>
      <c r="L92" s="145" t="n"/>
      <c r="M92" s="57" t="n"/>
      <c r="N92" s="15" t="n"/>
      <c r="O92" s="27" t="n"/>
      <c r="P92" s="7" t="n"/>
      <c r="Q92" s="151" t="n"/>
      <c r="R92" s="25" t="n"/>
    </row>
    <row r="93" ht="15.75" customHeight="1" thickBot="1">
      <c r="A93" s="149" t="n"/>
      <c r="B93" s="150" t="n"/>
      <c r="C93" s="149" t="n"/>
      <c r="D93" s="143" t="n"/>
      <c r="E93" s="143" t="n"/>
      <c r="F93" s="143" t="n"/>
      <c r="G93" s="143" t="n"/>
      <c r="H93" s="145" t="n"/>
      <c r="I93" s="57" t="n"/>
      <c r="J93" s="71">
        <f>I93*$F$88</f>
        <v/>
      </c>
      <c r="K93" s="47" t="n"/>
      <c r="L93" s="145" t="n"/>
      <c r="M93" s="57" t="n"/>
      <c r="N93" s="15" t="n"/>
      <c r="O93" s="27" t="n"/>
      <c r="P93" s="7" t="n"/>
      <c r="Q93" s="151" t="n"/>
      <c r="R93" s="25" t="n"/>
    </row>
    <row r="94" ht="15.75" customHeight="1" thickBot="1">
      <c r="A94" s="149" t="n"/>
      <c r="B94" s="150" t="n"/>
      <c r="C94" s="149" t="n"/>
      <c r="D94" s="143" t="n"/>
      <c r="E94" s="143" t="n"/>
      <c r="F94" s="143" t="n"/>
      <c r="G94" s="143" t="n"/>
      <c r="H94" s="145" t="n"/>
      <c r="I94" s="57" t="n"/>
      <c r="J94" s="71">
        <f>I94*$F$88</f>
        <v/>
      </c>
      <c r="K94" s="47" t="n"/>
      <c r="L94" s="145" t="n"/>
      <c r="M94" s="57" t="n"/>
      <c r="N94" s="15" t="n"/>
      <c r="O94" s="27" t="n"/>
      <c r="P94" s="7" t="n"/>
      <c r="Q94" s="151" t="n"/>
      <c r="R94" s="25" t="n"/>
    </row>
    <row r="95" ht="15.75" customHeight="1" thickBot="1">
      <c r="A95" s="149" t="n"/>
      <c r="B95" s="150" t="n"/>
      <c r="C95" s="149" t="n"/>
      <c r="D95" s="143" t="n"/>
      <c r="E95" s="143" t="n"/>
      <c r="F95" s="143" t="n"/>
      <c r="G95" s="143" t="n"/>
      <c r="H95" s="145" t="n"/>
      <c r="I95" s="59" t="n"/>
      <c r="J95" s="71">
        <f>I95*$F$88</f>
        <v/>
      </c>
      <c r="K95" s="46" t="n"/>
      <c r="L95" s="145" t="n"/>
      <c r="M95" s="59" t="n"/>
      <c r="N95" s="45" t="n"/>
      <c r="O95" s="23" t="n"/>
      <c r="P95" s="24" t="n"/>
      <c r="Q95" s="151" t="n"/>
      <c r="R95" s="25" t="n"/>
    </row>
    <row r="96" ht="15.75" customHeight="1" thickBot="1">
      <c r="A96" s="149" t="n"/>
      <c r="B96" s="150" t="n"/>
      <c r="C96" s="149" t="n"/>
      <c r="D96" s="143" t="n"/>
      <c r="E96" s="143" t="n"/>
      <c r="F96" s="143" t="n"/>
      <c r="G96" s="143" t="n"/>
      <c r="H96" s="145" t="n"/>
      <c r="I96" s="59" t="n"/>
      <c r="J96" s="71">
        <f>I96*$F$88</f>
        <v/>
      </c>
      <c r="K96" s="47" t="n"/>
      <c r="L96" s="145" t="n"/>
      <c r="M96" s="59" t="n"/>
      <c r="N96" s="45" t="n"/>
      <c r="O96" s="23" t="n"/>
      <c r="P96" s="24" t="n"/>
      <c r="Q96" s="151" t="n"/>
      <c r="R96" s="25" t="n"/>
    </row>
    <row r="97" ht="15.75" customHeight="1" thickBot="1">
      <c r="A97" s="149" t="n"/>
      <c r="B97" s="150" t="n"/>
      <c r="C97" s="149" t="n"/>
      <c r="D97" s="143" t="n"/>
      <c r="E97" s="143" t="n"/>
      <c r="F97" s="143" t="n"/>
      <c r="G97" s="143" t="n"/>
      <c r="H97" s="145" t="n"/>
      <c r="I97" s="59" t="n"/>
      <c r="J97" s="71">
        <f>I97*$F$88</f>
        <v/>
      </c>
      <c r="K97" s="49" t="n"/>
      <c r="L97" s="145" t="n"/>
      <c r="M97" s="59" t="n"/>
      <c r="N97" s="45" t="n"/>
      <c r="O97" s="23" t="n"/>
      <c r="P97" s="24" t="n"/>
      <c r="Q97" s="151" t="n"/>
      <c r="R97" s="25" t="n"/>
    </row>
    <row r="98" ht="15.75" customHeight="1" thickBot="1">
      <c r="A98" s="149" t="n"/>
      <c r="B98" s="150" t="n"/>
      <c r="C98" s="149" t="n"/>
      <c r="D98" s="143" t="n"/>
      <c r="E98" s="143" t="n"/>
      <c r="F98" s="143" t="n"/>
      <c r="G98" s="143" t="n"/>
      <c r="H98" s="145" t="n"/>
      <c r="I98" s="59" t="n"/>
      <c r="J98" s="71">
        <f>I98*$F$88</f>
        <v/>
      </c>
      <c r="K98" s="47" t="n"/>
      <c r="L98" s="145" t="n"/>
      <c r="M98" s="59" t="n"/>
      <c r="N98" s="45" t="n"/>
      <c r="O98" s="23" t="n"/>
      <c r="P98" s="24" t="n"/>
      <c r="Q98" s="151" t="n"/>
      <c r="R98" s="25" t="n"/>
    </row>
    <row r="99" ht="15.75" customHeight="1" thickBot="1">
      <c r="A99" s="149" t="n"/>
      <c r="B99" s="150" t="n"/>
      <c r="C99" s="149" t="n"/>
      <c r="D99" s="143" t="n"/>
      <c r="E99" s="143" t="n"/>
      <c r="F99" s="143" t="n"/>
      <c r="G99" s="143" t="n"/>
      <c r="H99" s="145" t="n"/>
      <c r="I99" s="59" t="n"/>
      <c r="J99" s="71">
        <f>I99*$F$88</f>
        <v/>
      </c>
      <c r="K99" s="47" t="n"/>
      <c r="L99" s="145" t="n"/>
      <c r="M99" s="59" t="n"/>
      <c r="N99" s="45" t="n"/>
      <c r="O99" s="23" t="n"/>
      <c r="P99" s="24" t="n"/>
      <c r="Q99" s="151" t="n"/>
      <c r="R99" s="25" t="n"/>
    </row>
    <row r="100" ht="15.75" customHeight="1" thickBot="1">
      <c r="A100" s="149" t="n"/>
      <c r="B100" s="150" t="n"/>
      <c r="C100" s="149" t="n"/>
      <c r="D100" s="143" t="n"/>
      <c r="E100" s="143" t="n"/>
      <c r="F100" s="143" t="n"/>
      <c r="G100" s="143" t="n"/>
      <c r="H100" s="145" t="n"/>
      <c r="I100" s="59" t="n"/>
      <c r="J100" s="71">
        <f>I100*$F$88</f>
        <v/>
      </c>
      <c r="K100" s="47" t="n"/>
      <c r="L100" s="145" t="n"/>
      <c r="M100" s="59" t="n"/>
      <c r="N100" s="45" t="n"/>
      <c r="O100" s="23" t="n"/>
      <c r="P100" s="24" t="n"/>
      <c r="Q100" s="151" t="n"/>
      <c r="R100" s="25" t="n"/>
    </row>
    <row r="101" ht="30.75" customHeight="1" thickBot="1">
      <c r="A101" s="149" t="n"/>
      <c r="B101" s="150" t="n"/>
      <c r="C101" s="149" t="n"/>
      <c r="D101" s="143" t="n"/>
      <c r="E101" s="143" t="n"/>
      <c r="F101" s="143" t="n"/>
      <c r="G101" s="143" t="n"/>
      <c r="H101" s="145" t="n"/>
      <c r="I101" s="59" t="n"/>
      <c r="J101" s="71">
        <f>I101*$F$88</f>
        <v/>
      </c>
      <c r="K101" s="49" t="n"/>
      <c r="L101" s="145" t="n"/>
      <c r="M101" s="59" t="n"/>
      <c r="N101" s="45" t="n"/>
      <c r="O101" s="23" t="n"/>
      <c r="P101" s="24" t="n"/>
      <c r="Q101" s="151" t="n"/>
      <c r="R101" s="25" t="n"/>
    </row>
    <row r="102" ht="45.75" customHeight="1" thickBot="1">
      <c r="A102" s="149" t="n"/>
      <c r="B102" s="150" t="n"/>
      <c r="C102" s="149" t="n"/>
      <c r="D102" s="143" t="n"/>
      <c r="E102" s="143" t="n"/>
      <c r="F102" s="143" t="n"/>
      <c r="G102" s="143" t="n"/>
      <c r="H102" s="145" t="n"/>
      <c r="I102" s="59" t="n"/>
      <c r="J102" s="71">
        <f>I102*$F$88</f>
        <v/>
      </c>
      <c r="K102" s="51" t="n"/>
      <c r="L102" s="145" t="n"/>
      <c r="M102" s="59" t="n"/>
      <c r="N102" s="45" t="n"/>
      <c r="O102" s="23" t="n"/>
      <c r="P102" s="24" t="n"/>
      <c r="Q102" s="151" t="n"/>
      <c r="R102" s="25" t="n"/>
    </row>
    <row r="103" ht="15.75" customHeight="1" thickBot="1">
      <c r="A103" s="149" t="n"/>
      <c r="B103" s="150" t="n"/>
      <c r="C103" s="152" t="n"/>
      <c r="D103" s="144" t="n"/>
      <c r="E103" s="144" t="n"/>
      <c r="F103" s="167" t="n"/>
      <c r="G103" s="144" t="n"/>
      <c r="H103" s="153" t="n"/>
      <c r="I103" s="72" t="n"/>
      <c r="J103" s="67">
        <f>I103*$F$88</f>
        <v/>
      </c>
      <c r="K103" s="52" t="n"/>
      <c r="L103" s="145" t="n"/>
      <c r="M103" s="72" t="n"/>
      <c r="N103" s="28" t="n"/>
      <c r="O103" s="29" t="n"/>
      <c r="P103" s="11" t="n"/>
      <c r="Q103" s="151" t="n"/>
      <c r="R103" s="30" t="n"/>
    </row>
    <row r="104" ht="13.9" customHeight="1" thickBot="1">
      <c r="A104" s="149" t="n"/>
      <c r="B104" s="150" t="n"/>
      <c r="C104" s="102" t="inlineStr">
        <is>
          <t>Listopad</t>
        </is>
      </c>
      <c r="D104" s="104" t="n"/>
      <c r="E104" s="103" t="n"/>
      <c r="F104" s="139">
        <f>H104/G104</f>
        <v/>
      </c>
      <c r="G104" s="159" t="n"/>
      <c r="H104" s="114" t="n"/>
      <c r="I104" s="56" t="n"/>
      <c r="J104" s="58">
        <f>I104*$F$104</f>
        <v/>
      </c>
      <c r="K104" s="48" t="n"/>
      <c r="L104" s="111">
        <f>H104-SUM(J104:J112)</f>
        <v/>
      </c>
      <c r="M104" s="56" t="n"/>
      <c r="N104" s="18" t="n"/>
      <c r="O104" s="26" t="n"/>
      <c r="P104" s="16" t="n"/>
      <c r="Q104" s="151" t="n"/>
      <c r="R104" s="31" t="n"/>
    </row>
    <row r="105" ht="30.75" customHeight="1" thickBot="1">
      <c r="A105" s="149" t="n"/>
      <c r="B105" s="150" t="n"/>
      <c r="C105" s="149" t="n"/>
      <c r="D105" s="143" t="n"/>
      <c r="E105" s="143" t="n"/>
      <c r="F105" s="143" t="n"/>
      <c r="G105" s="154" t="n"/>
      <c r="I105" s="57" t="n"/>
      <c r="J105" s="58">
        <f>I105*$F$104</f>
        <v/>
      </c>
      <c r="K105" s="50" t="n"/>
      <c r="L105" s="145" t="n"/>
      <c r="M105" s="57" t="n"/>
      <c r="N105" s="15" t="n"/>
      <c r="O105" s="27" t="n"/>
      <c r="P105" s="7" t="n"/>
      <c r="Q105" s="151" t="n"/>
      <c r="R105" s="25" t="n"/>
    </row>
    <row r="106" ht="15.75" customHeight="1" thickBot="1">
      <c r="A106" s="149" t="n"/>
      <c r="B106" s="150" t="n"/>
      <c r="C106" s="149" t="n"/>
      <c r="D106" s="143" t="n"/>
      <c r="E106" s="143" t="n"/>
      <c r="F106" s="143" t="n"/>
      <c r="G106" s="154" t="n"/>
      <c r="I106" s="57" t="n"/>
      <c r="J106" s="58">
        <f>I106*$F$104</f>
        <v/>
      </c>
      <c r="K106" s="47" t="n"/>
      <c r="L106" s="145" t="n"/>
      <c r="M106" s="57" t="n"/>
      <c r="N106" s="15" t="n"/>
      <c r="O106" s="27" t="n"/>
      <c r="P106" s="7" t="n"/>
      <c r="Q106" s="151" t="n"/>
      <c r="R106" s="25" t="n"/>
    </row>
    <row r="107" ht="15.75" customHeight="1" thickBot="1">
      <c r="A107" s="149" t="n"/>
      <c r="B107" s="150" t="n"/>
      <c r="C107" s="149" t="n"/>
      <c r="D107" s="143" t="n"/>
      <c r="E107" s="143" t="n"/>
      <c r="F107" s="143" t="n"/>
      <c r="G107" s="154" t="n"/>
      <c r="I107" s="57" t="n"/>
      <c r="J107" s="58">
        <f>I107*$F$104</f>
        <v/>
      </c>
      <c r="K107" s="47" t="n"/>
      <c r="L107" s="145" t="n"/>
      <c r="M107" s="57" t="n"/>
      <c r="N107" s="15" t="n"/>
      <c r="O107" s="27" t="n"/>
      <c r="P107" s="7" t="n"/>
      <c r="Q107" s="151" t="n"/>
      <c r="R107" s="25" t="n"/>
    </row>
    <row r="108" ht="15.75" customHeight="1" thickBot="1">
      <c r="A108" s="149" t="n"/>
      <c r="B108" s="150" t="n"/>
      <c r="C108" s="149" t="n"/>
      <c r="D108" s="143" t="n"/>
      <c r="E108" s="143" t="n"/>
      <c r="F108" s="143" t="n"/>
      <c r="G108" s="154" t="n"/>
      <c r="I108" s="57" t="n"/>
      <c r="J108" s="58">
        <f>I108*$F$104</f>
        <v/>
      </c>
      <c r="K108" s="46" t="n"/>
      <c r="L108" s="145" t="n"/>
      <c r="M108" s="57" t="n"/>
      <c r="N108" s="15" t="n"/>
      <c r="O108" s="27" t="n"/>
      <c r="P108" s="7" t="n"/>
      <c r="Q108" s="151" t="n"/>
      <c r="R108" s="25" t="n"/>
    </row>
    <row r="109" ht="15.75" customHeight="1" thickBot="1">
      <c r="A109" s="149" t="n"/>
      <c r="B109" s="150" t="n"/>
      <c r="C109" s="149" t="n"/>
      <c r="D109" s="143" t="n"/>
      <c r="E109" s="143" t="n"/>
      <c r="F109" s="143" t="n"/>
      <c r="G109" s="154" t="n"/>
      <c r="I109" s="57" t="n"/>
      <c r="J109" s="58">
        <f>I109*$F$104</f>
        <v/>
      </c>
      <c r="K109" s="47" t="n"/>
      <c r="L109" s="145" t="n"/>
      <c r="M109" s="57" t="n"/>
      <c r="N109" s="15" t="n"/>
      <c r="O109" s="27" t="n"/>
      <c r="P109" s="7" t="n"/>
      <c r="Q109" s="151" t="n"/>
      <c r="R109" s="25" t="n"/>
    </row>
    <row r="110" ht="15.75" customHeight="1" thickBot="1">
      <c r="A110" s="149" t="n"/>
      <c r="B110" s="150" t="n"/>
      <c r="C110" s="149" t="n"/>
      <c r="D110" s="143" t="n"/>
      <c r="E110" s="143" t="n"/>
      <c r="F110" s="143" t="n"/>
      <c r="G110" s="154" t="n"/>
      <c r="I110" s="57" t="n"/>
      <c r="J110" s="58">
        <f>I110*$F$104</f>
        <v/>
      </c>
      <c r="K110" s="47" t="n"/>
      <c r="L110" s="145" t="n"/>
      <c r="M110" s="57" t="n"/>
      <c r="N110" s="15" t="n"/>
      <c r="O110" s="27" t="n"/>
      <c r="P110" s="7" t="n"/>
      <c r="Q110" s="151" t="n"/>
      <c r="R110" s="25" t="n"/>
    </row>
    <row r="111" ht="15.75" customHeight="1" thickBot="1">
      <c r="A111" s="149" t="n"/>
      <c r="B111" s="150" t="n"/>
      <c r="C111" s="149" t="n"/>
      <c r="D111" s="143" t="n"/>
      <c r="E111" s="143" t="n"/>
      <c r="F111" s="143" t="n"/>
      <c r="G111" s="154" t="n"/>
      <c r="I111" s="57" t="n"/>
      <c r="J111" s="58">
        <f>I111*$F$104</f>
        <v/>
      </c>
      <c r="K111" s="49" t="n"/>
      <c r="L111" s="145" t="n"/>
      <c r="M111" s="57" t="n"/>
      <c r="N111" s="15" t="n"/>
      <c r="O111" s="27" t="n"/>
      <c r="P111" s="7" t="n"/>
      <c r="Q111" s="151" t="n"/>
      <c r="R111" s="25" t="n"/>
    </row>
    <row r="112" ht="15.75" customHeight="1" thickBot="1">
      <c r="A112" s="149" t="n"/>
      <c r="B112" s="150" t="n"/>
      <c r="C112" s="152" t="n"/>
      <c r="D112" s="144" t="n"/>
      <c r="E112" s="144" t="n"/>
      <c r="F112" s="167" t="n"/>
      <c r="G112" s="160" t="n"/>
      <c r="H112" s="155" t="n"/>
      <c r="I112" s="72" t="n"/>
      <c r="J112" s="61">
        <f>I112*$F$104</f>
        <v/>
      </c>
      <c r="K112" s="52" t="n"/>
      <c r="L112" s="145" t="n"/>
      <c r="M112" s="72" t="n"/>
      <c r="N112" s="28" t="n"/>
      <c r="O112" s="29" t="n"/>
      <c r="P112" s="11" t="n"/>
      <c r="Q112" s="151" t="n"/>
      <c r="R112" s="30" t="n"/>
    </row>
    <row r="113" ht="13.9" customHeight="1" thickBot="1">
      <c r="A113" s="149" t="n"/>
      <c r="B113" s="150" t="n"/>
      <c r="C113" s="102" t="inlineStr">
        <is>
          <t>Grudzień</t>
        </is>
      </c>
      <c r="D113" s="104" t="n"/>
      <c r="E113" s="104" t="n"/>
      <c r="F113" s="123">
        <f>H113/G113</f>
        <v/>
      </c>
      <c r="G113" s="157" t="n"/>
      <c r="H113" s="106" t="n"/>
      <c r="I113" s="56" t="n"/>
      <c r="J113" s="58">
        <f>I113*$F$113</f>
        <v/>
      </c>
      <c r="K113" s="48" t="n"/>
      <c r="L113" s="107">
        <f>H113-SUM(J113:J120)</f>
        <v/>
      </c>
      <c r="M113" s="56" t="n"/>
      <c r="N113" s="18" t="n"/>
      <c r="O113" s="26" t="n"/>
      <c r="P113" s="16" t="n"/>
      <c r="Q113" s="151" t="n"/>
      <c r="R113" s="31" t="n"/>
    </row>
    <row r="114" ht="15.75" customHeight="1" thickBot="1">
      <c r="A114" s="149" t="n"/>
      <c r="B114" s="150" t="n"/>
      <c r="C114" s="149" t="n"/>
      <c r="D114" s="143" t="n"/>
      <c r="E114" s="143" t="n"/>
      <c r="F114" s="143" t="n"/>
      <c r="G114" s="143" t="n"/>
      <c r="H114" s="145" t="n"/>
      <c r="I114" s="57" t="n"/>
      <c r="J114" s="58">
        <f>I114*$F$113</f>
        <v/>
      </c>
      <c r="K114" s="49" t="n"/>
      <c r="L114" s="151" t="n"/>
      <c r="M114" s="57" t="n"/>
      <c r="N114" s="15" t="n"/>
      <c r="O114" s="27" t="n"/>
      <c r="P114" s="7" t="n"/>
      <c r="Q114" s="151" t="n"/>
      <c r="R114" s="25" t="n"/>
    </row>
    <row r="115" ht="15.75" customHeight="1" thickBot="1">
      <c r="A115" s="149" t="n"/>
      <c r="B115" s="150" t="n"/>
      <c r="C115" s="149" t="n"/>
      <c r="D115" s="143" t="n"/>
      <c r="E115" s="143" t="n"/>
      <c r="F115" s="143" t="n"/>
      <c r="G115" s="143" t="n"/>
      <c r="H115" s="145" t="n"/>
      <c r="I115" s="57" t="n"/>
      <c r="J115" s="58">
        <f>I115*$F$113</f>
        <v/>
      </c>
      <c r="K115" s="47" t="n"/>
      <c r="L115" s="151" t="n"/>
      <c r="M115" s="57" t="n"/>
      <c r="N115" s="15" t="n"/>
      <c r="O115" s="27" t="n"/>
      <c r="P115" s="7" t="n"/>
      <c r="Q115" s="151" t="n"/>
      <c r="R115" s="25" t="n"/>
    </row>
    <row r="116" ht="15.75" customHeight="1" thickBot="1">
      <c r="A116" s="149" t="n"/>
      <c r="B116" s="150" t="n"/>
      <c r="C116" s="149" t="n"/>
      <c r="D116" s="143" t="n"/>
      <c r="E116" s="143" t="n"/>
      <c r="F116" s="143" t="n"/>
      <c r="G116" s="143" t="n"/>
      <c r="H116" s="145" t="n"/>
      <c r="I116" s="57" t="n"/>
      <c r="J116" s="58">
        <f>I116*$F$113</f>
        <v/>
      </c>
      <c r="K116" s="46" t="n"/>
      <c r="L116" s="151" t="n"/>
      <c r="M116" s="57" t="n"/>
      <c r="N116" s="15" t="n"/>
      <c r="O116" s="27" t="n"/>
      <c r="P116" s="7" t="n"/>
      <c r="Q116" s="151" t="n"/>
      <c r="R116" s="25" t="n"/>
    </row>
    <row r="117" ht="15.75" customHeight="1" thickBot="1">
      <c r="A117" s="149" t="n"/>
      <c r="B117" s="150" t="n"/>
      <c r="C117" s="149" t="n"/>
      <c r="D117" s="143" t="n"/>
      <c r="E117" s="143" t="n"/>
      <c r="F117" s="143" t="n"/>
      <c r="G117" s="143" t="n"/>
      <c r="H117" s="145" t="n"/>
      <c r="I117" s="57" t="n"/>
      <c r="J117" s="58">
        <f>I117*$F$113</f>
        <v/>
      </c>
      <c r="K117" s="50" t="n"/>
      <c r="L117" s="151" t="n"/>
      <c r="M117" s="57" t="n"/>
      <c r="N117" s="15" t="n"/>
      <c r="O117" s="27" t="n"/>
      <c r="P117" s="7" t="n"/>
      <c r="Q117" s="151" t="n"/>
      <c r="R117" s="25" t="n"/>
    </row>
    <row r="118" ht="15.75" customHeight="1" thickBot="1">
      <c r="A118" s="149" t="n"/>
      <c r="B118" s="150" t="n"/>
      <c r="C118" s="149" t="n"/>
      <c r="D118" s="143" t="n"/>
      <c r="E118" s="143" t="n"/>
      <c r="F118" s="143" t="n"/>
      <c r="G118" s="143" t="n"/>
      <c r="H118" s="145" t="n"/>
      <c r="I118" s="57" t="n"/>
      <c r="J118" s="58">
        <f>I118*$F$113</f>
        <v/>
      </c>
      <c r="K118" s="50" t="n"/>
      <c r="L118" s="151" t="n"/>
      <c r="M118" s="57" t="n"/>
      <c r="N118" s="15" t="n"/>
      <c r="O118" s="27" t="n"/>
      <c r="P118" s="7" t="n"/>
      <c r="Q118" s="151" t="n"/>
      <c r="R118" s="25" t="n"/>
    </row>
    <row r="119" ht="15.75" customHeight="1" thickBot="1">
      <c r="A119" s="149" t="n"/>
      <c r="B119" s="150" t="n"/>
      <c r="C119" s="149" t="n"/>
      <c r="D119" s="143" t="n"/>
      <c r="E119" s="143" t="n"/>
      <c r="F119" s="143" t="n"/>
      <c r="G119" s="143" t="n"/>
      <c r="H119" s="145" t="n"/>
      <c r="I119" s="57" t="n"/>
      <c r="J119" s="58">
        <f>I119*$F$113</f>
        <v/>
      </c>
      <c r="K119" s="50" t="n"/>
      <c r="L119" s="151" t="n"/>
      <c r="M119" s="57" t="n"/>
      <c r="N119" s="15" t="n"/>
      <c r="O119" s="27" t="n"/>
      <c r="P119" s="7" t="n"/>
      <c r="Q119" s="151" t="n"/>
      <c r="R119" s="25" t="n"/>
    </row>
    <row r="120" ht="15.75" customHeight="1" thickBot="1">
      <c r="A120" s="149" t="n"/>
      <c r="B120" s="150" t="n"/>
      <c r="C120" s="152" t="n"/>
      <c r="D120" s="144" t="n"/>
      <c r="E120" s="144" t="n"/>
      <c r="F120" s="144" t="n"/>
      <c r="G120" s="144" t="n"/>
      <c r="H120" s="153" t="n"/>
      <c r="I120" s="72" t="n"/>
      <c r="J120" s="61">
        <f>I120*$F$113</f>
        <v/>
      </c>
      <c r="K120" s="52" t="n"/>
      <c r="L120" s="146" t="n"/>
      <c r="M120" s="72" t="n"/>
      <c r="N120" s="29" t="n"/>
      <c r="O120" s="29" t="n"/>
      <c r="P120" s="11" t="n"/>
      <c r="Q120" s="151" t="n"/>
      <c r="R120" s="25" t="n"/>
    </row>
    <row r="121" ht="15.75" customHeight="1" thickBot="1">
      <c r="A121" s="152" t="n"/>
      <c r="B121" s="168" t="n"/>
      <c r="C121" s="32" t="inlineStr">
        <is>
          <t>PODSUMOWANIE</t>
        </is>
      </c>
      <c r="D121" s="33">
        <f>SUM(D3:D120)</f>
        <v/>
      </c>
      <c r="E121" s="33" t="inlineStr">
        <is>
          <t>-----------</t>
        </is>
      </c>
      <c r="F121" s="34" t="n"/>
      <c r="G121" s="76">
        <f>SUM(G3:G120)</f>
        <v/>
      </c>
      <c r="H121" s="76">
        <f>SUM(H3:H120)</f>
        <v/>
      </c>
      <c r="I121" s="77">
        <f>SUM(I3:I120)</f>
        <v/>
      </c>
      <c r="J121" s="77">
        <f>SUM(J3:J120)</f>
        <v/>
      </c>
      <c r="K121" s="35" t="n"/>
      <c r="L121" s="78">
        <f>SUM(L3:L120)</f>
        <v/>
      </c>
      <c r="M121" s="77">
        <f>SUM(M3:M120)</f>
        <v/>
      </c>
      <c r="N121" s="36" t="n"/>
      <c r="O121" s="33" t="n"/>
      <c r="P121" s="35" t="n"/>
      <c r="Q121" s="146" t="n"/>
      <c r="R121" s="37" t="inlineStr">
        <is>
          <t>----------</t>
        </is>
      </c>
    </row>
    <row r="122" ht="15.75" customHeight="1" thickBot="1">
      <c r="A122" s="140" t="inlineStr">
        <is>
          <t>PODSUMOWANIE ROKU</t>
        </is>
      </c>
      <c r="B122" s="169" t="n"/>
      <c r="C122" s="170" t="n"/>
      <c r="D122" s="38">
        <f>D121</f>
        <v/>
      </c>
      <c r="E122" s="38" t="inlineStr">
        <is>
          <t>----------</t>
        </is>
      </c>
      <c r="F122" s="39" t="n"/>
      <c r="G122" s="79">
        <f>G121</f>
        <v/>
      </c>
      <c r="H122" s="80">
        <f>H121</f>
        <v/>
      </c>
      <c r="I122" s="81">
        <f>I121</f>
        <v/>
      </c>
      <c r="J122" s="82">
        <f>J121</f>
        <v/>
      </c>
      <c r="K122" s="41" t="inlineStr">
        <is>
          <t>----------------------------------</t>
        </is>
      </c>
      <c r="L122" s="82">
        <f>L121</f>
        <v/>
      </c>
      <c r="M122" s="81">
        <f>M121</f>
        <v/>
      </c>
      <c r="N122" s="42">
        <f>N121</f>
        <v/>
      </c>
      <c r="O122" s="42">
        <f>O121</f>
        <v/>
      </c>
      <c r="P122" s="43">
        <f>P121</f>
        <v/>
      </c>
      <c r="Q122" s="40" t="n"/>
      <c r="R122" s="44" t="inlineStr">
        <is>
          <t>--------</t>
        </is>
      </c>
    </row>
    <row r="124">
      <c r="B124" s="85" t="n"/>
      <c r="C124" s="85" t="n"/>
      <c r="D124" s="85" t="n"/>
      <c r="E124" s="85" t="n"/>
    </row>
    <row r="125">
      <c r="B125" s="85" t="inlineStr">
        <is>
          <t>PIT</t>
        </is>
      </c>
      <c r="C125" s="86" t="n"/>
      <c r="D125" s="86" t="n"/>
      <c r="E125" s="86">
        <f>C125-D125</f>
        <v/>
      </c>
      <c r="I125" s="83">
        <f>H122-J122</f>
        <v/>
      </c>
    </row>
    <row r="126">
      <c r="B126" s="85" t="inlineStr">
        <is>
          <t>IP BOX</t>
        </is>
      </c>
      <c r="C126" s="86">
        <f>H122</f>
        <v/>
      </c>
      <c r="D126" s="86">
        <f>J122</f>
        <v/>
      </c>
      <c r="E126" s="86">
        <f>C126-D126</f>
        <v/>
      </c>
    </row>
    <row r="127">
      <c r="B127" s="85" t="inlineStr">
        <is>
          <t>różnica</t>
        </is>
      </c>
      <c r="C127" s="86">
        <f>C125-C126</f>
        <v/>
      </c>
      <c r="D127" s="86">
        <f>D125-D126</f>
        <v/>
      </c>
      <c r="E127" s="86">
        <f>C127-D127</f>
        <v/>
      </c>
    </row>
  </sheetData>
  <mergeCells count="101">
    <mergeCell ref="L56:L63"/>
    <mergeCell ref="D3:D7"/>
    <mergeCell ref="D104:D112"/>
    <mergeCell ref="D64:D75"/>
    <mergeCell ref="F104:F112"/>
    <mergeCell ref="F64:F75"/>
    <mergeCell ref="C1:C2"/>
    <mergeCell ref="E1:E2"/>
    <mergeCell ref="Q1:Q2"/>
    <mergeCell ref="D26:D35"/>
    <mergeCell ref="L104:L112"/>
    <mergeCell ref="D36:D43"/>
    <mergeCell ref="F36:F43"/>
    <mergeCell ref="F18:F25"/>
    <mergeCell ref="F88:F103"/>
    <mergeCell ref="C44:C55"/>
    <mergeCell ref="G18:G25"/>
    <mergeCell ref="F8:F17"/>
    <mergeCell ref="D76:D87"/>
    <mergeCell ref="H88:H103"/>
    <mergeCell ref="B3:B121"/>
    <mergeCell ref="G113:G120"/>
    <mergeCell ref="G3:G7"/>
    <mergeCell ref="C8:C17"/>
    <mergeCell ref="G64:G75"/>
    <mergeCell ref="H1:H2"/>
    <mergeCell ref="C76:C87"/>
    <mergeCell ref="L44:L55"/>
    <mergeCell ref="E26:E35"/>
    <mergeCell ref="C104:C112"/>
    <mergeCell ref="E56:E63"/>
    <mergeCell ref="G26:G35"/>
    <mergeCell ref="G56:G63"/>
    <mergeCell ref="G36:G43"/>
    <mergeCell ref="G88:G103"/>
    <mergeCell ref="I1:K1"/>
    <mergeCell ref="F113:F120"/>
    <mergeCell ref="L18:L25"/>
    <mergeCell ref="H56:H63"/>
    <mergeCell ref="H104:H112"/>
    <mergeCell ref="L3:L7"/>
    <mergeCell ref="L113:L120"/>
    <mergeCell ref="L64:L75"/>
    <mergeCell ref="Q3:Q121"/>
    <mergeCell ref="F3:F7"/>
    <mergeCell ref="F76:F87"/>
    <mergeCell ref="E44:E55"/>
    <mergeCell ref="L8:L17"/>
    <mergeCell ref="D18:D25"/>
    <mergeCell ref="L26:L35"/>
    <mergeCell ref="D1:D2"/>
    <mergeCell ref="F1:F2"/>
    <mergeCell ref="R1:R2"/>
    <mergeCell ref="L36:L43"/>
    <mergeCell ref="L88:L103"/>
    <mergeCell ref="C18:C25"/>
    <mergeCell ref="E18:E25"/>
    <mergeCell ref="D44:D55"/>
    <mergeCell ref="D88:D103"/>
    <mergeCell ref="F44:F55"/>
    <mergeCell ref="C64:C75"/>
    <mergeCell ref="E104:E112"/>
    <mergeCell ref="E64:E75"/>
    <mergeCell ref="G104:G112"/>
    <mergeCell ref="A122:C122"/>
    <mergeCell ref="H44:H55"/>
    <mergeCell ref="C26:C35"/>
    <mergeCell ref="C113:C120"/>
    <mergeCell ref="M1:P1"/>
    <mergeCell ref="H64:H75"/>
    <mergeCell ref="G1:G2"/>
    <mergeCell ref="C36:C43"/>
    <mergeCell ref="E36:E43"/>
    <mergeCell ref="D56:D63"/>
    <mergeCell ref="C88:C103"/>
    <mergeCell ref="F26:F35"/>
    <mergeCell ref="F56:F63"/>
    <mergeCell ref="E88:E103"/>
    <mergeCell ref="D8:D17"/>
    <mergeCell ref="D113:D120"/>
    <mergeCell ref="H18:H25"/>
    <mergeCell ref="G44:G55"/>
    <mergeCell ref="A3:A121"/>
    <mergeCell ref="E76:E87"/>
    <mergeCell ref="H3:H7"/>
    <mergeCell ref="G76:G87"/>
    <mergeCell ref="H8:H17"/>
    <mergeCell ref="H26:H35"/>
    <mergeCell ref="H113:H120"/>
    <mergeCell ref="E8:E17"/>
    <mergeCell ref="H76:H87"/>
    <mergeCell ref="G8:G17"/>
    <mergeCell ref="C3:C7"/>
    <mergeCell ref="B1:B2"/>
    <mergeCell ref="E3:E7"/>
    <mergeCell ref="L1:L2"/>
    <mergeCell ref="H36:H43"/>
    <mergeCell ref="C56:C63"/>
    <mergeCell ref="L76:L87"/>
    <mergeCell ref="E113:E120"/>
    <mergeCell ref="A1:A2"/>
  </mergeCells>
  <pageMargins left="0.7" right="0.7" top="0.75" bottom="0.75" header="0.511811023622047" footer="0.511811023622047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Weronika</dc:creator>
  <dcterms:created xmlns:dcterms="http://purl.org/dc/terms/" xmlns:xsi="http://www.w3.org/2001/XMLSchema-instance" xsi:type="dcterms:W3CDTF">2020-12-14T07:10:10Z</dcterms:created>
  <dcterms:modified xmlns:dcterms="http://purl.org/dc/terms/" xmlns:xsi="http://www.w3.org/2001/XMLSchema-instance" xsi:type="dcterms:W3CDTF">2026-07-10T13:11:40Z</dcterms:modified>
  <cp:lastModifiedBy>Marcin Sitko</cp:lastModifiedBy>
  <cp:revision>22</cp:revision>
</cp:coreProperties>
</file>